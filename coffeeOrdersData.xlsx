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defaultThemeVersion="166925"/>
  <mc:AlternateContent xmlns:mc="http://schemas.openxmlformats.org/markup-compatibility/2006">
    <mc:Choice Requires="x15">
      <x15ac:absPath xmlns:x15ac="http://schemas.microsoft.com/office/spreadsheetml/2010/11/ac" url="/Users/akhil/Downloads/"/>
    </mc:Choice>
  </mc:AlternateContent>
  <xr:revisionPtr revIDLastSave="0" documentId="13_ncr:1_{107AACD0-6656-D84C-96F9-1655B6C0717B}" xr6:coauthVersionLast="47" xr6:coauthVersionMax="47" xr10:uidLastSave="{00000000-0000-0000-0000-000000000000}"/>
  <bookViews>
    <workbookView xWindow="0" yWindow="780" windowWidth="36000" windowHeight="22600" activeTab="1" xr2:uid="{00000000-000D-0000-FFFF-FFFF00000000}"/>
  </bookViews>
  <sheets>
    <sheet name="Top5Coustomers" sheetId="20" r:id="rId1"/>
    <sheet name="Dashboard" sheetId="21" r:id="rId2"/>
    <sheet name="CountryBarChart" sheetId="19" r:id="rId3"/>
    <sheet name="Total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2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a="1"/>
  <c r="L2" i="17" s="1"/>
  <c r="M2" i="17" s="1"/>
  <c r="O959" i="17"/>
  <c r="I4" i="17"/>
  <c r="N4" i="17" s="1"/>
  <c r="L1001" i="17" a="1"/>
  <c r="L1001" i="17" s="1"/>
  <c r="M1001" i="17" s="1"/>
  <c r="K1001" i="17" a="1"/>
  <c r="K1001" i="17" s="1"/>
  <c r="J1001" i="17" a="1"/>
  <c r="J1001" i="17" s="1"/>
  <c r="O1001" i="17" s="1"/>
  <c r="I1001" i="17"/>
  <c r="N1001" i="17" s="1"/>
  <c r="L1000" i="17" a="1"/>
  <c r="L1000" i="17" s="1"/>
  <c r="M1000" i="17" s="1"/>
  <c r="K1000" i="17" a="1"/>
  <c r="K1000" i="17" s="1"/>
  <c r="J1000" i="17" a="1"/>
  <c r="J1000" i="17" s="1"/>
  <c r="O1000" i="17" s="1"/>
  <c r="I1000" i="17"/>
  <c r="N1000" i="17" s="1"/>
  <c r="L999" i="17" a="1"/>
  <c r="L999" i="17" s="1"/>
  <c r="M999" i="17" s="1"/>
  <c r="K999" i="17" a="1"/>
  <c r="K999" i="17" s="1"/>
  <c r="J999" i="17" a="1"/>
  <c r="J999" i="17" s="1"/>
  <c r="O999" i="17" s="1"/>
  <c r="I999" i="17"/>
  <c r="N999" i="17" s="1"/>
  <c r="L998" i="17" a="1"/>
  <c r="L998" i="17" s="1"/>
  <c r="M998" i="17" s="1"/>
  <c r="K998" i="17" a="1"/>
  <c r="K998" i="17" s="1"/>
  <c r="J998" i="17" a="1"/>
  <c r="J998" i="17" s="1"/>
  <c r="O998" i="17" s="1"/>
  <c r="I998" i="17"/>
  <c r="N998" i="17" s="1"/>
  <c r="L997" i="17" a="1"/>
  <c r="L997" i="17" s="1"/>
  <c r="M997" i="17" s="1"/>
  <c r="K997" i="17" a="1"/>
  <c r="K997" i="17" s="1"/>
  <c r="J997" i="17" a="1"/>
  <c r="J997" i="17" s="1"/>
  <c r="O997" i="17" s="1"/>
  <c r="I997" i="17"/>
  <c r="N997" i="17" s="1"/>
  <c r="L996" i="17" a="1"/>
  <c r="L996" i="17" s="1"/>
  <c r="M996" i="17" s="1"/>
  <c r="K996" i="17" a="1"/>
  <c r="K996" i="17" s="1"/>
  <c r="J996" i="17" a="1"/>
  <c r="J996" i="17" s="1"/>
  <c r="O996" i="17" s="1"/>
  <c r="I996" i="17"/>
  <c r="N996" i="17" s="1"/>
  <c r="L995" i="17" a="1"/>
  <c r="L995" i="17" s="1"/>
  <c r="M995" i="17" s="1"/>
  <c r="K995" i="17" a="1"/>
  <c r="K995" i="17" s="1"/>
  <c r="J995" i="17" a="1"/>
  <c r="J995" i="17" s="1"/>
  <c r="O995" i="17" s="1"/>
  <c r="I995" i="17"/>
  <c r="N995" i="17" s="1"/>
  <c r="L994" i="17" a="1"/>
  <c r="L994" i="17" s="1"/>
  <c r="M994" i="17" s="1"/>
  <c r="K994" i="17" a="1"/>
  <c r="K994" i="17" s="1"/>
  <c r="J994" i="17" a="1"/>
  <c r="J994" i="17" s="1"/>
  <c r="O994" i="17" s="1"/>
  <c r="I994" i="17"/>
  <c r="N994" i="17" s="1"/>
  <c r="L993" i="17" a="1"/>
  <c r="L993" i="17" s="1"/>
  <c r="M993" i="17" s="1"/>
  <c r="K993" i="17" a="1"/>
  <c r="K993" i="17" s="1"/>
  <c r="J993" i="17" a="1"/>
  <c r="J993" i="17" s="1"/>
  <c r="O993" i="17" s="1"/>
  <c r="I993" i="17"/>
  <c r="N993" i="17" s="1"/>
  <c r="L992" i="17" a="1"/>
  <c r="L992" i="17" s="1"/>
  <c r="M992" i="17" s="1"/>
  <c r="K992" i="17" a="1"/>
  <c r="K992" i="17" s="1"/>
  <c r="J992" i="17" a="1"/>
  <c r="J992" i="17" s="1"/>
  <c r="O992" i="17" s="1"/>
  <c r="I992" i="17"/>
  <c r="N992" i="17" s="1"/>
  <c r="L991" i="17" a="1"/>
  <c r="L991" i="17" s="1"/>
  <c r="M991" i="17" s="1"/>
  <c r="K991" i="17" a="1"/>
  <c r="K991" i="17" s="1"/>
  <c r="J991" i="17" a="1"/>
  <c r="J991" i="17" s="1"/>
  <c r="O991" i="17" s="1"/>
  <c r="I991" i="17"/>
  <c r="N991" i="17" s="1"/>
  <c r="L990" i="17" a="1"/>
  <c r="L990" i="17" s="1"/>
  <c r="M990" i="17" s="1"/>
  <c r="K990" i="17" a="1"/>
  <c r="K990" i="17" s="1"/>
  <c r="J990" i="17" a="1"/>
  <c r="J990" i="17" s="1"/>
  <c r="O990" i="17" s="1"/>
  <c r="I990" i="17"/>
  <c r="N990" i="17" s="1"/>
  <c r="L989" i="17" a="1"/>
  <c r="L989" i="17" s="1"/>
  <c r="M989" i="17" s="1"/>
  <c r="K989" i="17" a="1"/>
  <c r="K989" i="17" s="1"/>
  <c r="J989" i="17" a="1"/>
  <c r="J989" i="17" s="1"/>
  <c r="O989" i="17" s="1"/>
  <c r="I989" i="17"/>
  <c r="N989" i="17" s="1"/>
  <c r="L988" i="17" a="1"/>
  <c r="L988" i="17" s="1"/>
  <c r="M988" i="17" s="1"/>
  <c r="K988" i="17" a="1"/>
  <c r="K988" i="17" s="1"/>
  <c r="J988" i="17" a="1"/>
  <c r="J988" i="17" s="1"/>
  <c r="O988" i="17" s="1"/>
  <c r="I988" i="17"/>
  <c r="N988" i="17" s="1"/>
  <c r="L987" i="17" a="1"/>
  <c r="L987" i="17" s="1"/>
  <c r="M987" i="17" s="1"/>
  <c r="K987" i="17" a="1"/>
  <c r="K987" i="17" s="1"/>
  <c r="J987" i="17" a="1"/>
  <c r="J987" i="17" s="1"/>
  <c r="O987" i="17" s="1"/>
  <c r="I987" i="17"/>
  <c r="N987" i="17" s="1"/>
  <c r="L986" i="17" a="1"/>
  <c r="L986" i="17" s="1"/>
  <c r="M986" i="17" s="1"/>
  <c r="K986" i="17" a="1"/>
  <c r="K986" i="17" s="1"/>
  <c r="J986" i="17" a="1"/>
  <c r="J986" i="17" s="1"/>
  <c r="O986" i="17" s="1"/>
  <c r="I986" i="17"/>
  <c r="N986" i="17" s="1"/>
  <c r="L985" i="17" a="1"/>
  <c r="L985" i="17" s="1"/>
  <c r="M985" i="17" s="1"/>
  <c r="K985" i="17" a="1"/>
  <c r="K985" i="17" s="1"/>
  <c r="J985" i="17" a="1"/>
  <c r="J985" i="17" s="1"/>
  <c r="O985" i="17" s="1"/>
  <c r="I985" i="17"/>
  <c r="N985" i="17" s="1"/>
  <c r="L984" i="17" a="1"/>
  <c r="L984" i="17" s="1"/>
  <c r="M984" i="17" s="1"/>
  <c r="K984" i="17" a="1"/>
  <c r="K984" i="17" s="1"/>
  <c r="J984" i="17" a="1"/>
  <c r="J984" i="17" s="1"/>
  <c r="O984" i="17" s="1"/>
  <c r="I984" i="17"/>
  <c r="N984" i="17" s="1"/>
  <c r="L983" i="17" a="1"/>
  <c r="L983" i="17" s="1"/>
  <c r="M983" i="17" s="1"/>
  <c r="K983" i="17" a="1"/>
  <c r="K983" i="17" s="1"/>
  <c r="J983" i="17" a="1"/>
  <c r="J983" i="17" s="1"/>
  <c r="O983" i="17" s="1"/>
  <c r="I983" i="17"/>
  <c r="N983" i="17" s="1"/>
  <c r="L982" i="17" a="1"/>
  <c r="L982" i="17" s="1"/>
  <c r="M982" i="17" s="1"/>
  <c r="K982" i="17" a="1"/>
  <c r="K982" i="17" s="1"/>
  <c r="J982" i="17" a="1"/>
  <c r="J982" i="17" s="1"/>
  <c r="O982" i="17" s="1"/>
  <c r="I982" i="17"/>
  <c r="N982" i="17" s="1"/>
  <c r="L981" i="17" a="1"/>
  <c r="L981" i="17" s="1"/>
  <c r="M981" i="17" s="1"/>
  <c r="K981" i="17" a="1"/>
  <c r="K981" i="17" s="1"/>
  <c r="J981" i="17" a="1"/>
  <c r="J981" i="17" s="1"/>
  <c r="O981" i="17" s="1"/>
  <c r="I981" i="17"/>
  <c r="N981" i="17" s="1"/>
  <c r="L980" i="17" a="1"/>
  <c r="L980" i="17" s="1"/>
  <c r="M980" i="17" s="1"/>
  <c r="K980" i="17" a="1"/>
  <c r="K980" i="17" s="1"/>
  <c r="J980" i="17" a="1"/>
  <c r="J980" i="17" s="1"/>
  <c r="O980" i="17" s="1"/>
  <c r="I980" i="17"/>
  <c r="N980" i="17" s="1"/>
  <c r="L979" i="17" a="1"/>
  <c r="L979" i="17" s="1"/>
  <c r="M979" i="17" s="1"/>
  <c r="K979" i="17" a="1"/>
  <c r="K979" i="17" s="1"/>
  <c r="J979" i="17" a="1"/>
  <c r="J979" i="17" s="1"/>
  <c r="O979" i="17" s="1"/>
  <c r="I979" i="17"/>
  <c r="N979" i="17" s="1"/>
  <c r="L978" i="17" a="1"/>
  <c r="L978" i="17" s="1"/>
  <c r="M978" i="17" s="1"/>
  <c r="K978" i="17" a="1"/>
  <c r="K978" i="17" s="1"/>
  <c r="J978" i="17" a="1"/>
  <c r="J978" i="17" s="1"/>
  <c r="O978" i="17" s="1"/>
  <c r="I978" i="17"/>
  <c r="N978" i="17" s="1"/>
  <c r="L977" i="17" a="1"/>
  <c r="L977" i="17" s="1"/>
  <c r="M977" i="17" s="1"/>
  <c r="K977" i="17" a="1"/>
  <c r="K977" i="17" s="1"/>
  <c r="J977" i="17" a="1"/>
  <c r="J977" i="17" s="1"/>
  <c r="O977" i="17" s="1"/>
  <c r="I977" i="17"/>
  <c r="N977" i="17" s="1"/>
  <c r="L976" i="17" a="1"/>
  <c r="L976" i="17" s="1"/>
  <c r="M976" i="17" s="1"/>
  <c r="K976" i="17" a="1"/>
  <c r="K976" i="17" s="1"/>
  <c r="J976" i="17" a="1"/>
  <c r="J976" i="17" s="1"/>
  <c r="O976" i="17" s="1"/>
  <c r="I976" i="17"/>
  <c r="N976" i="17" s="1"/>
  <c r="L975" i="17" a="1"/>
  <c r="L975" i="17" s="1"/>
  <c r="M975" i="17" s="1"/>
  <c r="K975" i="17" a="1"/>
  <c r="K975" i="17" s="1"/>
  <c r="J975" i="17" a="1"/>
  <c r="J975" i="17" s="1"/>
  <c r="O975" i="17" s="1"/>
  <c r="I975" i="17"/>
  <c r="N975" i="17" s="1"/>
  <c r="L974" i="17" a="1"/>
  <c r="L974" i="17" s="1"/>
  <c r="M974" i="17" s="1"/>
  <c r="K974" i="17" a="1"/>
  <c r="K974" i="17" s="1"/>
  <c r="J974" i="17" a="1"/>
  <c r="J974" i="17" s="1"/>
  <c r="O974" i="17" s="1"/>
  <c r="I974" i="17"/>
  <c r="N974" i="17" s="1"/>
  <c r="L973" i="17" a="1"/>
  <c r="L973" i="17" s="1"/>
  <c r="M973" i="17" s="1"/>
  <c r="K973" i="17" a="1"/>
  <c r="K973" i="17" s="1"/>
  <c r="J973" i="17" a="1"/>
  <c r="J973" i="17" s="1"/>
  <c r="O973" i="17" s="1"/>
  <c r="I973" i="17"/>
  <c r="N973" i="17" s="1"/>
  <c r="L972" i="17" a="1"/>
  <c r="L972" i="17" s="1"/>
  <c r="M972" i="17" s="1"/>
  <c r="K972" i="17" a="1"/>
  <c r="K972" i="17" s="1"/>
  <c r="J972" i="17" a="1"/>
  <c r="J972" i="17" s="1"/>
  <c r="O972" i="17" s="1"/>
  <c r="I972" i="17"/>
  <c r="N972" i="17" s="1"/>
  <c r="L971" i="17" a="1"/>
  <c r="L971" i="17" s="1"/>
  <c r="M971" i="17" s="1"/>
  <c r="K971" i="17" a="1"/>
  <c r="K971" i="17" s="1"/>
  <c r="J971" i="17" a="1"/>
  <c r="J971" i="17" s="1"/>
  <c r="O971" i="17" s="1"/>
  <c r="I971" i="17"/>
  <c r="N971" i="17" s="1"/>
  <c r="L970" i="17" a="1"/>
  <c r="L970" i="17" s="1"/>
  <c r="M970" i="17" s="1"/>
  <c r="K970" i="17" a="1"/>
  <c r="K970" i="17" s="1"/>
  <c r="J970" i="17" a="1"/>
  <c r="J970" i="17" s="1"/>
  <c r="O970" i="17" s="1"/>
  <c r="I970" i="17"/>
  <c r="N970" i="17" s="1"/>
  <c r="L969" i="17" a="1"/>
  <c r="L969" i="17" s="1"/>
  <c r="M969" i="17" s="1"/>
  <c r="K969" i="17" a="1"/>
  <c r="K969" i="17" s="1"/>
  <c r="J969" i="17" a="1"/>
  <c r="J969" i="17" s="1"/>
  <c r="O969" i="17" s="1"/>
  <c r="I969" i="17"/>
  <c r="N969" i="17" s="1"/>
  <c r="L968" i="17" a="1"/>
  <c r="L968" i="17" s="1"/>
  <c r="M968" i="17" s="1"/>
  <c r="K968" i="17" a="1"/>
  <c r="K968" i="17" s="1"/>
  <c r="J968" i="17" a="1"/>
  <c r="J968" i="17" s="1"/>
  <c r="O968" i="17" s="1"/>
  <c r="I968" i="17"/>
  <c r="N968" i="17" s="1"/>
  <c r="L967" i="17" a="1"/>
  <c r="L967" i="17" s="1"/>
  <c r="M967" i="17" s="1"/>
  <c r="K967" i="17" a="1"/>
  <c r="K967" i="17" s="1"/>
  <c r="J967" i="17" a="1"/>
  <c r="J967" i="17" s="1"/>
  <c r="O967" i="17" s="1"/>
  <c r="I967" i="17"/>
  <c r="N967" i="17" s="1"/>
  <c r="L966" i="17" a="1"/>
  <c r="L966" i="17" s="1"/>
  <c r="M966" i="17" s="1"/>
  <c r="K966" i="17" a="1"/>
  <c r="K966" i="17" s="1"/>
  <c r="J966" i="17" a="1"/>
  <c r="J966" i="17" s="1"/>
  <c r="O966" i="17" s="1"/>
  <c r="I966" i="17"/>
  <c r="N966" i="17" s="1"/>
  <c r="L965" i="17" a="1"/>
  <c r="L965" i="17" s="1"/>
  <c r="M965" i="17" s="1"/>
  <c r="K965" i="17" a="1"/>
  <c r="K965" i="17" s="1"/>
  <c r="J965" i="17" a="1"/>
  <c r="J965" i="17" s="1"/>
  <c r="O965" i="17" s="1"/>
  <c r="I965" i="17"/>
  <c r="N965" i="17" s="1"/>
  <c r="L964" i="17" a="1"/>
  <c r="L964" i="17" s="1"/>
  <c r="M964" i="17" s="1"/>
  <c r="K964" i="17" a="1"/>
  <c r="K964" i="17" s="1"/>
  <c r="J964" i="17" a="1"/>
  <c r="J964" i="17" s="1"/>
  <c r="O964" i="17" s="1"/>
  <c r="I964" i="17"/>
  <c r="N964" i="17" s="1"/>
  <c r="L963" i="17" a="1"/>
  <c r="L963" i="17" s="1"/>
  <c r="M963" i="17" s="1"/>
  <c r="K963" i="17" a="1"/>
  <c r="K963" i="17" s="1"/>
  <c r="J963" i="17" a="1"/>
  <c r="J963" i="17" s="1"/>
  <c r="O963" i="17" s="1"/>
  <c r="I963" i="17"/>
  <c r="N963" i="17" s="1"/>
  <c r="L962" i="17" a="1"/>
  <c r="L962" i="17" s="1"/>
  <c r="M962" i="17" s="1"/>
  <c r="K962" i="17" a="1"/>
  <c r="K962" i="17" s="1"/>
  <c r="J962" i="17" a="1"/>
  <c r="J962" i="17" s="1"/>
  <c r="O962" i="17" s="1"/>
  <c r="I962" i="17"/>
  <c r="N962" i="17" s="1"/>
  <c r="L961" i="17" a="1"/>
  <c r="L961" i="17" s="1"/>
  <c r="M961" i="17" s="1"/>
  <c r="K961" i="17" a="1"/>
  <c r="K961" i="17" s="1"/>
  <c r="J961" i="17" a="1"/>
  <c r="J961" i="17" s="1"/>
  <c r="O961" i="17" s="1"/>
  <c r="I961" i="17"/>
  <c r="N961" i="17" s="1"/>
  <c r="L960" i="17" a="1"/>
  <c r="L960" i="17" s="1"/>
  <c r="M960" i="17" s="1"/>
  <c r="K960" i="17"/>
  <c r="K960" i="17" a="1"/>
  <c r="J960" i="17" a="1"/>
  <c r="J960" i="17" s="1"/>
  <c r="O960" i="17" s="1"/>
  <c r="I960" i="17"/>
  <c r="N960" i="17" s="1"/>
  <c r="L959" i="17" a="1"/>
  <c r="L959" i="17" s="1"/>
  <c r="M959" i="17" s="1"/>
  <c r="K959" i="17" a="1"/>
  <c r="K959" i="17" s="1"/>
  <c r="J959" i="17" a="1"/>
  <c r="J959" i="17" s="1"/>
  <c r="I959" i="17"/>
  <c r="N959" i="17" s="1"/>
  <c r="L958" i="17" a="1"/>
  <c r="L958" i="17" s="1"/>
  <c r="M958" i="17" s="1"/>
  <c r="K958" i="17" a="1"/>
  <c r="K958" i="17" s="1"/>
  <c r="J958" i="17" a="1"/>
  <c r="J958" i="17" s="1"/>
  <c r="O958" i="17" s="1"/>
  <c r="I958" i="17"/>
  <c r="N958" i="17" s="1"/>
  <c r="L957" i="17" a="1"/>
  <c r="L957" i="17" s="1"/>
  <c r="M957" i="17" s="1"/>
  <c r="K957" i="17" a="1"/>
  <c r="K957" i="17" s="1"/>
  <c r="J957" i="17" a="1"/>
  <c r="J957" i="17" s="1"/>
  <c r="O957" i="17" s="1"/>
  <c r="I957" i="17"/>
  <c r="N957" i="17" s="1"/>
  <c r="L956" i="17" a="1"/>
  <c r="L956" i="17" s="1"/>
  <c r="M956" i="17" s="1"/>
  <c r="K956" i="17" a="1"/>
  <c r="K956" i="17" s="1"/>
  <c r="J956" i="17" a="1"/>
  <c r="J956" i="17" s="1"/>
  <c r="O956" i="17" s="1"/>
  <c r="I956" i="17"/>
  <c r="N956" i="17" s="1"/>
  <c r="L955" i="17" a="1"/>
  <c r="L955" i="17" s="1"/>
  <c r="M955" i="17" s="1"/>
  <c r="K955" i="17" a="1"/>
  <c r="K955" i="17" s="1"/>
  <c r="J955" i="17" a="1"/>
  <c r="J955" i="17" s="1"/>
  <c r="O955" i="17" s="1"/>
  <c r="I955" i="17"/>
  <c r="N955" i="17" s="1"/>
  <c r="L954" i="17" a="1"/>
  <c r="L954" i="17" s="1"/>
  <c r="M954" i="17" s="1"/>
  <c r="K954" i="17" a="1"/>
  <c r="K954" i="17" s="1"/>
  <c r="J954" i="17" a="1"/>
  <c r="J954" i="17" s="1"/>
  <c r="O954" i="17" s="1"/>
  <c r="I954" i="17"/>
  <c r="N954" i="17" s="1"/>
  <c r="L953" i="17" a="1"/>
  <c r="L953" i="17" s="1"/>
  <c r="M953" i="17" s="1"/>
  <c r="K953" i="17" a="1"/>
  <c r="K953" i="17" s="1"/>
  <c r="J953" i="17" a="1"/>
  <c r="J953" i="17" s="1"/>
  <c r="O953" i="17" s="1"/>
  <c r="I953" i="17"/>
  <c r="N953" i="17" s="1"/>
  <c r="L952" i="17" a="1"/>
  <c r="L952" i="17" s="1"/>
  <c r="M952" i="17" s="1"/>
  <c r="K952" i="17" a="1"/>
  <c r="K952" i="17" s="1"/>
  <c r="J952" i="17" a="1"/>
  <c r="J952" i="17" s="1"/>
  <c r="O952" i="17" s="1"/>
  <c r="I952" i="17"/>
  <c r="N952" i="17" s="1"/>
  <c r="L951" i="17" a="1"/>
  <c r="L951" i="17" s="1"/>
  <c r="M951" i="17" s="1"/>
  <c r="K951" i="17" a="1"/>
  <c r="K951" i="17" s="1"/>
  <c r="J951" i="17" a="1"/>
  <c r="J951" i="17" s="1"/>
  <c r="O951" i="17" s="1"/>
  <c r="I951" i="17"/>
  <c r="N951" i="17" s="1"/>
  <c r="L950" i="17" a="1"/>
  <c r="L950" i="17" s="1"/>
  <c r="M950" i="17" s="1"/>
  <c r="K950" i="17" a="1"/>
  <c r="K950" i="17" s="1"/>
  <c r="J950" i="17" a="1"/>
  <c r="J950" i="17" s="1"/>
  <c r="O950" i="17" s="1"/>
  <c r="I950" i="17"/>
  <c r="N950" i="17" s="1"/>
  <c r="L949" i="17" a="1"/>
  <c r="L949" i="17" s="1"/>
  <c r="M949" i="17" s="1"/>
  <c r="K949" i="17" a="1"/>
  <c r="K949" i="17" s="1"/>
  <c r="J949" i="17" a="1"/>
  <c r="J949" i="17" s="1"/>
  <c r="O949" i="17" s="1"/>
  <c r="I949" i="17"/>
  <c r="N949" i="17" s="1"/>
  <c r="L948" i="17" a="1"/>
  <c r="L948" i="17" s="1"/>
  <c r="M948" i="17" s="1"/>
  <c r="K948" i="17" a="1"/>
  <c r="K948" i="17" s="1"/>
  <c r="J948" i="17" a="1"/>
  <c r="J948" i="17" s="1"/>
  <c r="O948" i="17" s="1"/>
  <c r="I948" i="17"/>
  <c r="N948" i="17" s="1"/>
  <c r="L947" i="17" a="1"/>
  <c r="L947" i="17" s="1"/>
  <c r="M947" i="17" s="1"/>
  <c r="K947" i="17" a="1"/>
  <c r="K947" i="17" s="1"/>
  <c r="J947" i="17" a="1"/>
  <c r="J947" i="17" s="1"/>
  <c r="O947" i="17" s="1"/>
  <c r="I947" i="17"/>
  <c r="N947" i="17" s="1"/>
  <c r="L946" i="17" a="1"/>
  <c r="L946" i="17" s="1"/>
  <c r="M946" i="17" s="1"/>
  <c r="K946" i="17" a="1"/>
  <c r="K946" i="17" s="1"/>
  <c r="J946" i="17" a="1"/>
  <c r="J946" i="17" s="1"/>
  <c r="O946" i="17" s="1"/>
  <c r="I946" i="17"/>
  <c r="N946" i="17" s="1"/>
  <c r="L945" i="17" a="1"/>
  <c r="L945" i="17" s="1"/>
  <c r="M945" i="17" s="1"/>
  <c r="K945" i="17" a="1"/>
  <c r="K945" i="17" s="1"/>
  <c r="J945" i="17" a="1"/>
  <c r="J945" i="17" s="1"/>
  <c r="O945" i="17" s="1"/>
  <c r="I945" i="17"/>
  <c r="N945" i="17" s="1"/>
  <c r="L944" i="17" a="1"/>
  <c r="L944" i="17" s="1"/>
  <c r="M944" i="17" s="1"/>
  <c r="K944" i="17" a="1"/>
  <c r="K944" i="17" s="1"/>
  <c r="J944" i="17" a="1"/>
  <c r="J944" i="17" s="1"/>
  <c r="O944" i="17" s="1"/>
  <c r="I944" i="17"/>
  <c r="N944" i="17" s="1"/>
  <c r="L943" i="17" a="1"/>
  <c r="L943" i="17" s="1"/>
  <c r="M943" i="17" s="1"/>
  <c r="K943" i="17" a="1"/>
  <c r="K943" i="17" s="1"/>
  <c r="J943" i="17" a="1"/>
  <c r="J943" i="17" s="1"/>
  <c r="O943" i="17" s="1"/>
  <c r="I943" i="17"/>
  <c r="N943" i="17" s="1"/>
  <c r="L942" i="17" a="1"/>
  <c r="L942" i="17" s="1"/>
  <c r="M942" i="17" s="1"/>
  <c r="K942" i="17" a="1"/>
  <c r="K942" i="17" s="1"/>
  <c r="J942" i="17" a="1"/>
  <c r="J942" i="17" s="1"/>
  <c r="O942" i="17" s="1"/>
  <c r="I942" i="17"/>
  <c r="N942" i="17" s="1"/>
  <c r="L941" i="17" a="1"/>
  <c r="L941" i="17" s="1"/>
  <c r="M941" i="17" s="1"/>
  <c r="K941" i="17" a="1"/>
  <c r="K941" i="17" s="1"/>
  <c r="J941" i="17" a="1"/>
  <c r="J941" i="17" s="1"/>
  <c r="O941" i="17" s="1"/>
  <c r="I941" i="17"/>
  <c r="N941" i="17" s="1"/>
  <c r="L940" i="17" a="1"/>
  <c r="L940" i="17" s="1"/>
  <c r="M940" i="17" s="1"/>
  <c r="K940" i="17" a="1"/>
  <c r="K940" i="17" s="1"/>
  <c r="J940" i="17" a="1"/>
  <c r="J940" i="17" s="1"/>
  <c r="O940" i="17" s="1"/>
  <c r="I940" i="17"/>
  <c r="N940" i="17" s="1"/>
  <c r="L939" i="17" a="1"/>
  <c r="L939" i="17" s="1"/>
  <c r="M939" i="17" s="1"/>
  <c r="K939" i="17" a="1"/>
  <c r="K939" i="17" s="1"/>
  <c r="J939" i="17" a="1"/>
  <c r="J939" i="17" s="1"/>
  <c r="O939" i="17" s="1"/>
  <c r="I939" i="17"/>
  <c r="N939" i="17" s="1"/>
  <c r="L938" i="17" a="1"/>
  <c r="L938" i="17" s="1"/>
  <c r="M938" i="17" s="1"/>
  <c r="K938" i="17" a="1"/>
  <c r="K938" i="17" s="1"/>
  <c r="J938" i="17" a="1"/>
  <c r="J938" i="17" s="1"/>
  <c r="O938" i="17" s="1"/>
  <c r="I938" i="17"/>
  <c r="N938" i="17" s="1"/>
  <c r="L937" i="17" a="1"/>
  <c r="L937" i="17" s="1"/>
  <c r="M937" i="17" s="1"/>
  <c r="K937" i="17" a="1"/>
  <c r="K937" i="17" s="1"/>
  <c r="J937" i="17" a="1"/>
  <c r="J937" i="17" s="1"/>
  <c r="O937" i="17" s="1"/>
  <c r="I937" i="17"/>
  <c r="N937" i="17" s="1"/>
  <c r="L936" i="17" a="1"/>
  <c r="L936" i="17" s="1"/>
  <c r="M936" i="17" s="1"/>
  <c r="K936" i="17" a="1"/>
  <c r="K936" i="17" s="1"/>
  <c r="J936" i="17" a="1"/>
  <c r="J936" i="17" s="1"/>
  <c r="O936" i="17" s="1"/>
  <c r="I936" i="17"/>
  <c r="N936" i="17" s="1"/>
  <c r="L935" i="17" a="1"/>
  <c r="L935" i="17" s="1"/>
  <c r="M935" i="17" s="1"/>
  <c r="K935" i="17" a="1"/>
  <c r="K935" i="17" s="1"/>
  <c r="J935" i="17" a="1"/>
  <c r="J935" i="17" s="1"/>
  <c r="O935" i="17" s="1"/>
  <c r="I935" i="17"/>
  <c r="N935" i="17" s="1"/>
  <c r="L934" i="17" a="1"/>
  <c r="L934" i="17" s="1"/>
  <c r="M934" i="17" s="1"/>
  <c r="K934" i="17" a="1"/>
  <c r="K934" i="17" s="1"/>
  <c r="J934" i="17" a="1"/>
  <c r="J934" i="17" s="1"/>
  <c r="O934" i="17" s="1"/>
  <c r="I934" i="17"/>
  <c r="N934" i="17" s="1"/>
  <c r="L933" i="17" a="1"/>
  <c r="L933" i="17" s="1"/>
  <c r="M933" i="17" s="1"/>
  <c r="K933" i="17" a="1"/>
  <c r="K933" i="17" s="1"/>
  <c r="J933" i="17" a="1"/>
  <c r="J933" i="17" s="1"/>
  <c r="O933" i="17" s="1"/>
  <c r="I933" i="17"/>
  <c r="N933" i="17" s="1"/>
  <c r="L932" i="17" a="1"/>
  <c r="L932" i="17" s="1"/>
  <c r="M932" i="17" s="1"/>
  <c r="K932" i="17" a="1"/>
  <c r="K932" i="17" s="1"/>
  <c r="J932" i="17" a="1"/>
  <c r="J932" i="17" s="1"/>
  <c r="O932" i="17" s="1"/>
  <c r="I932" i="17"/>
  <c r="N932" i="17" s="1"/>
  <c r="L931" i="17" a="1"/>
  <c r="L931" i="17" s="1"/>
  <c r="M931" i="17" s="1"/>
  <c r="K931" i="17" a="1"/>
  <c r="K931" i="17" s="1"/>
  <c r="J931" i="17" a="1"/>
  <c r="J931" i="17" s="1"/>
  <c r="O931" i="17" s="1"/>
  <c r="I931" i="17"/>
  <c r="N931" i="17" s="1"/>
  <c r="L930" i="17" a="1"/>
  <c r="L930" i="17" s="1"/>
  <c r="M930" i="17" s="1"/>
  <c r="K930" i="17" a="1"/>
  <c r="K930" i="17" s="1"/>
  <c r="J930" i="17" a="1"/>
  <c r="J930" i="17" s="1"/>
  <c r="O930" i="17" s="1"/>
  <c r="I930" i="17"/>
  <c r="N930" i="17" s="1"/>
  <c r="L929" i="17" a="1"/>
  <c r="L929" i="17" s="1"/>
  <c r="M929" i="17" s="1"/>
  <c r="K929" i="17" a="1"/>
  <c r="K929" i="17" s="1"/>
  <c r="J929" i="17" a="1"/>
  <c r="J929" i="17" s="1"/>
  <c r="O929" i="17" s="1"/>
  <c r="I929" i="17"/>
  <c r="N929" i="17" s="1"/>
  <c r="L928" i="17" a="1"/>
  <c r="L928" i="17" s="1"/>
  <c r="M928" i="17" s="1"/>
  <c r="K928" i="17" a="1"/>
  <c r="K928" i="17" s="1"/>
  <c r="J928" i="17" a="1"/>
  <c r="J928" i="17" s="1"/>
  <c r="O928" i="17" s="1"/>
  <c r="I928" i="17"/>
  <c r="N928" i="17" s="1"/>
  <c r="L927" i="17" a="1"/>
  <c r="L927" i="17" s="1"/>
  <c r="M927" i="17" s="1"/>
  <c r="K927" i="17" a="1"/>
  <c r="K927" i="17" s="1"/>
  <c r="J927" i="17" a="1"/>
  <c r="J927" i="17" s="1"/>
  <c r="O927" i="17" s="1"/>
  <c r="I927" i="17"/>
  <c r="N927" i="17" s="1"/>
  <c r="L926" i="17" a="1"/>
  <c r="L926" i="17" s="1"/>
  <c r="M926" i="17" s="1"/>
  <c r="K926" i="17" a="1"/>
  <c r="K926" i="17" s="1"/>
  <c r="J926" i="17" a="1"/>
  <c r="J926" i="17" s="1"/>
  <c r="O926" i="17" s="1"/>
  <c r="I926" i="17"/>
  <c r="N926" i="17" s="1"/>
  <c r="L925" i="17" a="1"/>
  <c r="L925" i="17" s="1"/>
  <c r="M925" i="17" s="1"/>
  <c r="K925" i="17" a="1"/>
  <c r="K925" i="17" s="1"/>
  <c r="J925" i="17" a="1"/>
  <c r="J925" i="17" s="1"/>
  <c r="O925" i="17" s="1"/>
  <c r="I925" i="17"/>
  <c r="N925" i="17" s="1"/>
  <c r="L924" i="17" a="1"/>
  <c r="L924" i="17" s="1"/>
  <c r="M924" i="17" s="1"/>
  <c r="K924" i="17" a="1"/>
  <c r="K924" i="17" s="1"/>
  <c r="J924" i="17" a="1"/>
  <c r="J924" i="17" s="1"/>
  <c r="O924" i="17" s="1"/>
  <c r="I924" i="17"/>
  <c r="N924" i="17" s="1"/>
  <c r="L923" i="17" a="1"/>
  <c r="L923" i="17" s="1"/>
  <c r="M923" i="17" s="1"/>
  <c r="K923" i="17" a="1"/>
  <c r="K923" i="17" s="1"/>
  <c r="J923" i="17" a="1"/>
  <c r="J923" i="17" s="1"/>
  <c r="O923" i="17" s="1"/>
  <c r="I923" i="17"/>
  <c r="N923" i="17" s="1"/>
  <c r="L922" i="17" a="1"/>
  <c r="L922" i="17" s="1"/>
  <c r="M922" i="17" s="1"/>
  <c r="K922" i="17" a="1"/>
  <c r="K922" i="17" s="1"/>
  <c r="J922" i="17" a="1"/>
  <c r="J922" i="17" s="1"/>
  <c r="O922" i="17" s="1"/>
  <c r="I922" i="17"/>
  <c r="N922" i="17" s="1"/>
  <c r="L921" i="17" a="1"/>
  <c r="L921" i="17" s="1"/>
  <c r="M921" i="17" s="1"/>
  <c r="K921" i="17" a="1"/>
  <c r="K921" i="17" s="1"/>
  <c r="J921" i="17" a="1"/>
  <c r="J921" i="17" s="1"/>
  <c r="O921" i="17" s="1"/>
  <c r="I921" i="17"/>
  <c r="N921" i="17" s="1"/>
  <c r="L920" i="17" a="1"/>
  <c r="L920" i="17" s="1"/>
  <c r="M920" i="17" s="1"/>
  <c r="K920" i="17" a="1"/>
  <c r="K920" i="17" s="1"/>
  <c r="J920" i="17" a="1"/>
  <c r="J920" i="17" s="1"/>
  <c r="O920" i="17" s="1"/>
  <c r="I920" i="17"/>
  <c r="N920" i="17" s="1"/>
  <c r="L919" i="17" a="1"/>
  <c r="L919" i="17" s="1"/>
  <c r="M919" i="17" s="1"/>
  <c r="K919" i="17" a="1"/>
  <c r="K919" i="17" s="1"/>
  <c r="J919" i="17" a="1"/>
  <c r="J919" i="17" s="1"/>
  <c r="O919" i="17" s="1"/>
  <c r="I919" i="17"/>
  <c r="N919" i="17" s="1"/>
  <c r="L918" i="17" a="1"/>
  <c r="L918" i="17" s="1"/>
  <c r="M918" i="17" s="1"/>
  <c r="K918" i="17" a="1"/>
  <c r="K918" i="17" s="1"/>
  <c r="J918" i="17" a="1"/>
  <c r="J918" i="17" s="1"/>
  <c r="O918" i="17" s="1"/>
  <c r="I918" i="17"/>
  <c r="N918" i="17" s="1"/>
  <c r="L917" i="17" a="1"/>
  <c r="L917" i="17" s="1"/>
  <c r="M917" i="17" s="1"/>
  <c r="K917" i="17" a="1"/>
  <c r="K917" i="17" s="1"/>
  <c r="J917" i="17" a="1"/>
  <c r="J917" i="17" s="1"/>
  <c r="O917" i="17" s="1"/>
  <c r="I917" i="17"/>
  <c r="N917" i="17" s="1"/>
  <c r="L916" i="17" a="1"/>
  <c r="L916" i="17" s="1"/>
  <c r="M916" i="17" s="1"/>
  <c r="K916" i="17" a="1"/>
  <c r="K916" i="17" s="1"/>
  <c r="J916" i="17" a="1"/>
  <c r="J916" i="17" s="1"/>
  <c r="O916" i="17" s="1"/>
  <c r="I916" i="17"/>
  <c r="N916" i="17" s="1"/>
  <c r="L915" i="17" a="1"/>
  <c r="L915" i="17" s="1"/>
  <c r="M915" i="17" s="1"/>
  <c r="K915" i="17" a="1"/>
  <c r="K915" i="17" s="1"/>
  <c r="J915" i="17" a="1"/>
  <c r="J915" i="17" s="1"/>
  <c r="O915" i="17" s="1"/>
  <c r="I915" i="17"/>
  <c r="N915" i="17" s="1"/>
  <c r="L914" i="17" a="1"/>
  <c r="L914" i="17" s="1"/>
  <c r="M914" i="17" s="1"/>
  <c r="K914" i="17" a="1"/>
  <c r="K914" i="17" s="1"/>
  <c r="J914" i="17" a="1"/>
  <c r="J914" i="17" s="1"/>
  <c r="O914" i="17" s="1"/>
  <c r="I914" i="17"/>
  <c r="N914" i="17" s="1"/>
  <c r="L913" i="17" a="1"/>
  <c r="L913" i="17" s="1"/>
  <c r="M913" i="17" s="1"/>
  <c r="K913" i="17" a="1"/>
  <c r="K913" i="17" s="1"/>
  <c r="J913" i="17" a="1"/>
  <c r="J913" i="17" s="1"/>
  <c r="O913" i="17" s="1"/>
  <c r="I913" i="17"/>
  <c r="N913" i="17" s="1"/>
  <c r="L912" i="17" a="1"/>
  <c r="L912" i="17" s="1"/>
  <c r="M912" i="17" s="1"/>
  <c r="K912" i="17" a="1"/>
  <c r="K912" i="17" s="1"/>
  <c r="J912" i="17" a="1"/>
  <c r="J912" i="17" s="1"/>
  <c r="O912" i="17" s="1"/>
  <c r="I912" i="17"/>
  <c r="N912" i="17" s="1"/>
  <c r="L911" i="17" a="1"/>
  <c r="L911" i="17" s="1"/>
  <c r="M911" i="17" s="1"/>
  <c r="K911" i="17" a="1"/>
  <c r="K911" i="17" s="1"/>
  <c r="J911" i="17" a="1"/>
  <c r="J911" i="17" s="1"/>
  <c r="O911" i="17" s="1"/>
  <c r="I911" i="17"/>
  <c r="N911" i="17" s="1"/>
  <c r="L910" i="17" a="1"/>
  <c r="L910" i="17" s="1"/>
  <c r="M910" i="17" s="1"/>
  <c r="K910" i="17" a="1"/>
  <c r="K910" i="17" s="1"/>
  <c r="J910" i="17" a="1"/>
  <c r="J910" i="17" s="1"/>
  <c r="O910" i="17" s="1"/>
  <c r="I910" i="17"/>
  <c r="N910" i="17" s="1"/>
  <c r="L909" i="17" a="1"/>
  <c r="L909" i="17" s="1"/>
  <c r="M909" i="17" s="1"/>
  <c r="K909" i="17" a="1"/>
  <c r="K909" i="17" s="1"/>
  <c r="J909" i="17" a="1"/>
  <c r="J909" i="17" s="1"/>
  <c r="O909" i="17" s="1"/>
  <c r="I909" i="17"/>
  <c r="N909" i="17" s="1"/>
  <c r="L908" i="17" a="1"/>
  <c r="L908" i="17" s="1"/>
  <c r="M908" i="17" s="1"/>
  <c r="K908" i="17" a="1"/>
  <c r="K908" i="17" s="1"/>
  <c r="J908" i="17" a="1"/>
  <c r="J908" i="17" s="1"/>
  <c r="O908" i="17" s="1"/>
  <c r="I908" i="17"/>
  <c r="N908" i="17" s="1"/>
  <c r="L907" i="17" a="1"/>
  <c r="L907" i="17" s="1"/>
  <c r="M907" i="17" s="1"/>
  <c r="K907" i="17" a="1"/>
  <c r="K907" i="17" s="1"/>
  <c r="J907" i="17" a="1"/>
  <c r="J907" i="17" s="1"/>
  <c r="O907" i="17" s="1"/>
  <c r="I907" i="17"/>
  <c r="N907" i="17" s="1"/>
  <c r="L906" i="17" a="1"/>
  <c r="L906" i="17" s="1"/>
  <c r="M906" i="17" s="1"/>
  <c r="K906" i="17" a="1"/>
  <c r="K906" i="17" s="1"/>
  <c r="J906" i="17" a="1"/>
  <c r="J906" i="17" s="1"/>
  <c r="O906" i="17" s="1"/>
  <c r="I906" i="17"/>
  <c r="N906" i="17" s="1"/>
  <c r="L905" i="17" a="1"/>
  <c r="L905" i="17" s="1"/>
  <c r="M905" i="17" s="1"/>
  <c r="K905" i="17" a="1"/>
  <c r="K905" i="17" s="1"/>
  <c r="J905" i="17" a="1"/>
  <c r="J905" i="17" s="1"/>
  <c r="O905" i="17" s="1"/>
  <c r="I905" i="17"/>
  <c r="N905" i="17" s="1"/>
  <c r="L904" i="17" a="1"/>
  <c r="L904" i="17" s="1"/>
  <c r="M904" i="17" s="1"/>
  <c r="K904" i="17" a="1"/>
  <c r="K904" i="17" s="1"/>
  <c r="J904" i="17" a="1"/>
  <c r="J904" i="17" s="1"/>
  <c r="O904" i="17" s="1"/>
  <c r="I904" i="17"/>
  <c r="N904" i="17" s="1"/>
  <c r="L903" i="17" a="1"/>
  <c r="L903" i="17" s="1"/>
  <c r="M903" i="17" s="1"/>
  <c r="K903" i="17" a="1"/>
  <c r="K903" i="17" s="1"/>
  <c r="J903" i="17" a="1"/>
  <c r="J903" i="17" s="1"/>
  <c r="O903" i="17" s="1"/>
  <c r="I903" i="17"/>
  <c r="N903" i="17" s="1"/>
  <c r="L902" i="17" a="1"/>
  <c r="L902" i="17" s="1"/>
  <c r="M902" i="17" s="1"/>
  <c r="K902" i="17" a="1"/>
  <c r="K902" i="17" s="1"/>
  <c r="J902" i="17" a="1"/>
  <c r="J902" i="17" s="1"/>
  <c r="O902" i="17" s="1"/>
  <c r="I902" i="17"/>
  <c r="N902" i="17" s="1"/>
  <c r="L901" i="17" a="1"/>
  <c r="L901" i="17" s="1"/>
  <c r="M901" i="17" s="1"/>
  <c r="K901" i="17" a="1"/>
  <c r="K901" i="17" s="1"/>
  <c r="J901" i="17" a="1"/>
  <c r="J901" i="17" s="1"/>
  <c r="O901" i="17" s="1"/>
  <c r="I901" i="17"/>
  <c r="N901" i="17" s="1"/>
  <c r="L900" i="17" a="1"/>
  <c r="L900" i="17" s="1"/>
  <c r="M900" i="17" s="1"/>
  <c r="K900" i="17" a="1"/>
  <c r="K900" i="17" s="1"/>
  <c r="J900" i="17" a="1"/>
  <c r="J900" i="17" s="1"/>
  <c r="O900" i="17" s="1"/>
  <c r="I900" i="17"/>
  <c r="N900" i="17" s="1"/>
  <c r="L899" i="17" a="1"/>
  <c r="L899" i="17" s="1"/>
  <c r="M899" i="17" s="1"/>
  <c r="K899" i="17" a="1"/>
  <c r="K899" i="17" s="1"/>
  <c r="J899" i="17" a="1"/>
  <c r="J899" i="17" s="1"/>
  <c r="O899" i="17" s="1"/>
  <c r="I899" i="17"/>
  <c r="N899" i="17" s="1"/>
  <c r="L898" i="17" a="1"/>
  <c r="L898" i="17" s="1"/>
  <c r="M898" i="17" s="1"/>
  <c r="K898" i="17" a="1"/>
  <c r="K898" i="17" s="1"/>
  <c r="J898" i="17" a="1"/>
  <c r="J898" i="17" s="1"/>
  <c r="O898" i="17" s="1"/>
  <c r="I898" i="17"/>
  <c r="N898" i="17" s="1"/>
  <c r="L897" i="17" a="1"/>
  <c r="L897" i="17" s="1"/>
  <c r="M897" i="17" s="1"/>
  <c r="K897" i="17" a="1"/>
  <c r="K897" i="17" s="1"/>
  <c r="J897" i="17" a="1"/>
  <c r="J897" i="17" s="1"/>
  <c r="O897" i="17" s="1"/>
  <c r="I897" i="17"/>
  <c r="N897" i="17" s="1"/>
  <c r="L896" i="17" a="1"/>
  <c r="L896" i="17" s="1"/>
  <c r="M896" i="17" s="1"/>
  <c r="K896" i="17" a="1"/>
  <c r="K896" i="17" s="1"/>
  <c r="J896" i="17" a="1"/>
  <c r="J896" i="17" s="1"/>
  <c r="O896" i="17" s="1"/>
  <c r="I896" i="17"/>
  <c r="N896" i="17" s="1"/>
  <c r="L895" i="17" a="1"/>
  <c r="L895" i="17" s="1"/>
  <c r="M895" i="17" s="1"/>
  <c r="K895" i="17" a="1"/>
  <c r="K895" i="17" s="1"/>
  <c r="J895" i="17" a="1"/>
  <c r="J895" i="17" s="1"/>
  <c r="O895" i="17" s="1"/>
  <c r="I895" i="17"/>
  <c r="N895" i="17" s="1"/>
  <c r="L894" i="17" a="1"/>
  <c r="L894" i="17" s="1"/>
  <c r="M894" i="17" s="1"/>
  <c r="K894" i="17" a="1"/>
  <c r="K894" i="17" s="1"/>
  <c r="J894" i="17" a="1"/>
  <c r="J894" i="17" s="1"/>
  <c r="O894" i="17" s="1"/>
  <c r="I894" i="17"/>
  <c r="N894" i="17" s="1"/>
  <c r="L893" i="17" a="1"/>
  <c r="L893" i="17" s="1"/>
  <c r="M893" i="17" s="1"/>
  <c r="K893" i="17" a="1"/>
  <c r="K893" i="17" s="1"/>
  <c r="J893" i="17" a="1"/>
  <c r="J893" i="17" s="1"/>
  <c r="O893" i="17" s="1"/>
  <c r="I893" i="17"/>
  <c r="N893" i="17" s="1"/>
  <c r="L892" i="17" a="1"/>
  <c r="L892" i="17" s="1"/>
  <c r="M892" i="17" s="1"/>
  <c r="K892" i="17" a="1"/>
  <c r="K892" i="17" s="1"/>
  <c r="J892" i="17" a="1"/>
  <c r="J892" i="17" s="1"/>
  <c r="O892" i="17" s="1"/>
  <c r="I892" i="17"/>
  <c r="N892" i="17" s="1"/>
  <c r="L891" i="17" a="1"/>
  <c r="L891" i="17" s="1"/>
  <c r="M891" i="17" s="1"/>
  <c r="K891" i="17" a="1"/>
  <c r="K891" i="17" s="1"/>
  <c r="J891" i="17" a="1"/>
  <c r="J891" i="17" s="1"/>
  <c r="O891" i="17" s="1"/>
  <c r="I891" i="17"/>
  <c r="N891" i="17" s="1"/>
  <c r="L890" i="17" a="1"/>
  <c r="L890" i="17" s="1"/>
  <c r="M890" i="17" s="1"/>
  <c r="K890" i="17" a="1"/>
  <c r="K890" i="17" s="1"/>
  <c r="J890" i="17" a="1"/>
  <c r="J890" i="17" s="1"/>
  <c r="O890" i="17" s="1"/>
  <c r="I890" i="17"/>
  <c r="N890" i="17" s="1"/>
  <c r="L889" i="17" a="1"/>
  <c r="L889" i="17" s="1"/>
  <c r="M889" i="17" s="1"/>
  <c r="K889" i="17" a="1"/>
  <c r="K889" i="17" s="1"/>
  <c r="J889" i="17" a="1"/>
  <c r="J889" i="17" s="1"/>
  <c r="O889" i="17" s="1"/>
  <c r="I889" i="17"/>
  <c r="N889" i="17" s="1"/>
  <c r="L888" i="17" a="1"/>
  <c r="L888" i="17" s="1"/>
  <c r="M888" i="17" s="1"/>
  <c r="K888" i="17" a="1"/>
  <c r="K888" i="17" s="1"/>
  <c r="J888" i="17" a="1"/>
  <c r="J888" i="17" s="1"/>
  <c r="O888" i="17" s="1"/>
  <c r="I888" i="17"/>
  <c r="N888" i="17" s="1"/>
  <c r="L887" i="17" a="1"/>
  <c r="L887" i="17" s="1"/>
  <c r="M887" i="17" s="1"/>
  <c r="K887" i="17" a="1"/>
  <c r="K887" i="17" s="1"/>
  <c r="J887" i="17" a="1"/>
  <c r="J887" i="17" s="1"/>
  <c r="O887" i="17" s="1"/>
  <c r="I887" i="17"/>
  <c r="N887" i="17" s="1"/>
  <c r="L886" i="17" a="1"/>
  <c r="L886" i="17" s="1"/>
  <c r="M886" i="17" s="1"/>
  <c r="K886" i="17" a="1"/>
  <c r="K886" i="17" s="1"/>
  <c r="J886" i="17" a="1"/>
  <c r="J886" i="17" s="1"/>
  <c r="O886" i="17" s="1"/>
  <c r="I886" i="17"/>
  <c r="N886" i="17" s="1"/>
  <c r="L885" i="17" a="1"/>
  <c r="L885" i="17" s="1"/>
  <c r="M885" i="17" s="1"/>
  <c r="K885" i="17" a="1"/>
  <c r="K885" i="17" s="1"/>
  <c r="J885" i="17" a="1"/>
  <c r="J885" i="17" s="1"/>
  <c r="O885" i="17" s="1"/>
  <c r="I885" i="17"/>
  <c r="N885" i="17" s="1"/>
  <c r="L884" i="17" a="1"/>
  <c r="L884" i="17" s="1"/>
  <c r="M884" i="17" s="1"/>
  <c r="K884" i="17" a="1"/>
  <c r="K884" i="17" s="1"/>
  <c r="J884" i="17" a="1"/>
  <c r="J884" i="17" s="1"/>
  <c r="O884" i="17" s="1"/>
  <c r="I884" i="17"/>
  <c r="N884" i="17" s="1"/>
  <c r="L883" i="17" a="1"/>
  <c r="L883" i="17" s="1"/>
  <c r="M883" i="17" s="1"/>
  <c r="K883" i="17" a="1"/>
  <c r="K883" i="17" s="1"/>
  <c r="J883" i="17" a="1"/>
  <c r="J883" i="17" s="1"/>
  <c r="O883" i="17" s="1"/>
  <c r="I883" i="17"/>
  <c r="N883" i="17" s="1"/>
  <c r="L882" i="17" a="1"/>
  <c r="L882" i="17" s="1"/>
  <c r="M882" i="17" s="1"/>
  <c r="K882" i="17" a="1"/>
  <c r="K882" i="17" s="1"/>
  <c r="J882" i="17" a="1"/>
  <c r="J882" i="17" s="1"/>
  <c r="O882" i="17" s="1"/>
  <c r="I882" i="17"/>
  <c r="N882" i="17" s="1"/>
  <c r="L881" i="17" a="1"/>
  <c r="L881" i="17" s="1"/>
  <c r="M881" i="17" s="1"/>
  <c r="K881" i="17" a="1"/>
  <c r="K881" i="17" s="1"/>
  <c r="J881" i="17" a="1"/>
  <c r="J881" i="17" s="1"/>
  <c r="O881" i="17" s="1"/>
  <c r="I881" i="17"/>
  <c r="N881" i="17" s="1"/>
  <c r="L880" i="17" a="1"/>
  <c r="L880" i="17" s="1"/>
  <c r="M880" i="17" s="1"/>
  <c r="K880" i="17" a="1"/>
  <c r="K880" i="17" s="1"/>
  <c r="J880" i="17" a="1"/>
  <c r="J880" i="17" s="1"/>
  <c r="O880" i="17" s="1"/>
  <c r="I880" i="17"/>
  <c r="N880" i="17" s="1"/>
  <c r="L879" i="17" a="1"/>
  <c r="L879" i="17" s="1"/>
  <c r="M879" i="17" s="1"/>
  <c r="K879" i="17" a="1"/>
  <c r="K879" i="17" s="1"/>
  <c r="J879" i="17" a="1"/>
  <c r="J879" i="17" s="1"/>
  <c r="O879" i="17" s="1"/>
  <c r="I879" i="17"/>
  <c r="N879" i="17" s="1"/>
  <c r="L878" i="17" a="1"/>
  <c r="L878" i="17" s="1"/>
  <c r="M878" i="17" s="1"/>
  <c r="K878" i="17" a="1"/>
  <c r="K878" i="17" s="1"/>
  <c r="J878" i="17" a="1"/>
  <c r="J878" i="17" s="1"/>
  <c r="O878" i="17" s="1"/>
  <c r="I878" i="17"/>
  <c r="N878" i="17" s="1"/>
  <c r="L877" i="17" a="1"/>
  <c r="L877" i="17" s="1"/>
  <c r="M877" i="17" s="1"/>
  <c r="K877" i="17" a="1"/>
  <c r="K877" i="17" s="1"/>
  <c r="J877" i="17" a="1"/>
  <c r="J877" i="17" s="1"/>
  <c r="O877" i="17" s="1"/>
  <c r="I877" i="17"/>
  <c r="N877" i="17" s="1"/>
  <c r="L876" i="17" a="1"/>
  <c r="L876" i="17" s="1"/>
  <c r="M876" i="17" s="1"/>
  <c r="K876" i="17" a="1"/>
  <c r="K876" i="17" s="1"/>
  <c r="J876" i="17" a="1"/>
  <c r="J876" i="17" s="1"/>
  <c r="O876" i="17" s="1"/>
  <c r="I876" i="17"/>
  <c r="N876" i="17" s="1"/>
  <c r="L875" i="17" a="1"/>
  <c r="L875" i="17" s="1"/>
  <c r="M875" i="17" s="1"/>
  <c r="K875" i="17" a="1"/>
  <c r="K875" i="17" s="1"/>
  <c r="J875" i="17" a="1"/>
  <c r="J875" i="17" s="1"/>
  <c r="O875" i="17" s="1"/>
  <c r="I875" i="17"/>
  <c r="N875" i="17" s="1"/>
  <c r="L874" i="17" a="1"/>
  <c r="L874" i="17" s="1"/>
  <c r="M874" i="17" s="1"/>
  <c r="K874" i="17" a="1"/>
  <c r="K874" i="17" s="1"/>
  <c r="J874" i="17" a="1"/>
  <c r="J874" i="17" s="1"/>
  <c r="O874" i="17" s="1"/>
  <c r="I874" i="17"/>
  <c r="N874" i="17" s="1"/>
  <c r="L873" i="17" a="1"/>
  <c r="L873" i="17" s="1"/>
  <c r="M873" i="17" s="1"/>
  <c r="K873" i="17" a="1"/>
  <c r="K873" i="17" s="1"/>
  <c r="J873" i="17" a="1"/>
  <c r="J873" i="17" s="1"/>
  <c r="O873" i="17" s="1"/>
  <c r="I873" i="17"/>
  <c r="N873" i="17" s="1"/>
  <c r="L872" i="17" a="1"/>
  <c r="L872" i="17" s="1"/>
  <c r="M872" i="17" s="1"/>
  <c r="K872" i="17" a="1"/>
  <c r="K872" i="17" s="1"/>
  <c r="J872" i="17" a="1"/>
  <c r="J872" i="17" s="1"/>
  <c r="O872" i="17" s="1"/>
  <c r="I872" i="17"/>
  <c r="N872" i="17" s="1"/>
  <c r="L871" i="17" a="1"/>
  <c r="L871" i="17" s="1"/>
  <c r="M871" i="17" s="1"/>
  <c r="K871" i="17" a="1"/>
  <c r="K871" i="17" s="1"/>
  <c r="J871" i="17" a="1"/>
  <c r="J871" i="17" s="1"/>
  <c r="O871" i="17" s="1"/>
  <c r="I871" i="17"/>
  <c r="N871" i="17" s="1"/>
  <c r="L870" i="17" a="1"/>
  <c r="L870" i="17" s="1"/>
  <c r="M870" i="17" s="1"/>
  <c r="K870" i="17" a="1"/>
  <c r="K870" i="17" s="1"/>
  <c r="J870" i="17" a="1"/>
  <c r="J870" i="17" s="1"/>
  <c r="O870" i="17" s="1"/>
  <c r="I870" i="17"/>
  <c r="N870" i="17" s="1"/>
  <c r="L869" i="17" a="1"/>
  <c r="L869" i="17" s="1"/>
  <c r="M869" i="17" s="1"/>
  <c r="K869" i="17" a="1"/>
  <c r="K869" i="17" s="1"/>
  <c r="J869" i="17" a="1"/>
  <c r="J869" i="17" s="1"/>
  <c r="O869" i="17" s="1"/>
  <c r="I869" i="17"/>
  <c r="N869" i="17" s="1"/>
  <c r="L868" i="17" a="1"/>
  <c r="L868" i="17" s="1"/>
  <c r="M868" i="17" s="1"/>
  <c r="K868" i="17" a="1"/>
  <c r="K868" i="17" s="1"/>
  <c r="J868" i="17" a="1"/>
  <c r="J868" i="17" s="1"/>
  <c r="O868" i="17" s="1"/>
  <c r="I868" i="17"/>
  <c r="N868" i="17" s="1"/>
  <c r="L867" i="17" a="1"/>
  <c r="L867" i="17" s="1"/>
  <c r="M867" i="17" s="1"/>
  <c r="K867" i="17" a="1"/>
  <c r="K867" i="17" s="1"/>
  <c r="J867" i="17" a="1"/>
  <c r="J867" i="17" s="1"/>
  <c r="O867" i="17" s="1"/>
  <c r="I867" i="17"/>
  <c r="N867" i="17" s="1"/>
  <c r="L866" i="17" a="1"/>
  <c r="L866" i="17" s="1"/>
  <c r="M866" i="17" s="1"/>
  <c r="K866" i="17" a="1"/>
  <c r="K866" i="17" s="1"/>
  <c r="J866" i="17" a="1"/>
  <c r="J866" i="17" s="1"/>
  <c r="O866" i="17" s="1"/>
  <c r="I866" i="17"/>
  <c r="N866" i="17" s="1"/>
  <c r="L865" i="17" a="1"/>
  <c r="L865" i="17" s="1"/>
  <c r="M865" i="17" s="1"/>
  <c r="K865" i="17" a="1"/>
  <c r="K865" i="17" s="1"/>
  <c r="J865" i="17" a="1"/>
  <c r="J865" i="17" s="1"/>
  <c r="O865" i="17" s="1"/>
  <c r="I865" i="17"/>
  <c r="N865" i="17" s="1"/>
  <c r="L864" i="17" a="1"/>
  <c r="L864" i="17" s="1"/>
  <c r="M864" i="17" s="1"/>
  <c r="K864" i="17" a="1"/>
  <c r="K864" i="17" s="1"/>
  <c r="J864" i="17" a="1"/>
  <c r="J864" i="17" s="1"/>
  <c r="O864" i="17" s="1"/>
  <c r="I864" i="17"/>
  <c r="N864" i="17" s="1"/>
  <c r="L863" i="17" a="1"/>
  <c r="L863" i="17" s="1"/>
  <c r="M863" i="17" s="1"/>
  <c r="K863" i="17" a="1"/>
  <c r="K863" i="17" s="1"/>
  <c r="J863" i="17" a="1"/>
  <c r="J863" i="17" s="1"/>
  <c r="O863" i="17" s="1"/>
  <c r="I863" i="17"/>
  <c r="N863" i="17" s="1"/>
  <c r="L862" i="17" a="1"/>
  <c r="L862" i="17" s="1"/>
  <c r="M862" i="17" s="1"/>
  <c r="K862" i="17" a="1"/>
  <c r="K862" i="17" s="1"/>
  <c r="J862" i="17" a="1"/>
  <c r="J862" i="17" s="1"/>
  <c r="O862" i="17" s="1"/>
  <c r="I862" i="17"/>
  <c r="N862" i="17" s="1"/>
  <c r="L861" i="17" a="1"/>
  <c r="L861" i="17" s="1"/>
  <c r="M861" i="17" s="1"/>
  <c r="K861" i="17" a="1"/>
  <c r="K861" i="17" s="1"/>
  <c r="J861" i="17" a="1"/>
  <c r="J861" i="17" s="1"/>
  <c r="O861" i="17" s="1"/>
  <c r="I861" i="17"/>
  <c r="N861" i="17" s="1"/>
  <c r="L860" i="17" a="1"/>
  <c r="L860" i="17" s="1"/>
  <c r="M860" i="17" s="1"/>
  <c r="K860" i="17" a="1"/>
  <c r="K860" i="17" s="1"/>
  <c r="J860" i="17" a="1"/>
  <c r="J860" i="17" s="1"/>
  <c r="O860" i="17" s="1"/>
  <c r="I860" i="17"/>
  <c r="N860" i="17" s="1"/>
  <c r="L859" i="17" a="1"/>
  <c r="L859" i="17" s="1"/>
  <c r="M859" i="17" s="1"/>
  <c r="K859" i="17" a="1"/>
  <c r="K859" i="17" s="1"/>
  <c r="J859" i="17" a="1"/>
  <c r="J859" i="17" s="1"/>
  <c r="O859" i="17" s="1"/>
  <c r="I859" i="17"/>
  <c r="N859" i="17" s="1"/>
  <c r="L858" i="17" a="1"/>
  <c r="L858" i="17" s="1"/>
  <c r="M858" i="17" s="1"/>
  <c r="K858" i="17" a="1"/>
  <c r="K858" i="17" s="1"/>
  <c r="J858" i="17" a="1"/>
  <c r="J858" i="17" s="1"/>
  <c r="O858" i="17" s="1"/>
  <c r="I858" i="17"/>
  <c r="N858" i="17" s="1"/>
  <c r="L857" i="17" a="1"/>
  <c r="L857" i="17" s="1"/>
  <c r="M857" i="17" s="1"/>
  <c r="K857" i="17" a="1"/>
  <c r="K857" i="17" s="1"/>
  <c r="J857" i="17" a="1"/>
  <c r="J857" i="17" s="1"/>
  <c r="O857" i="17" s="1"/>
  <c r="I857" i="17"/>
  <c r="N857" i="17" s="1"/>
  <c r="L856" i="17" a="1"/>
  <c r="L856" i="17" s="1"/>
  <c r="M856" i="17" s="1"/>
  <c r="K856" i="17" a="1"/>
  <c r="K856" i="17" s="1"/>
  <c r="J856" i="17" a="1"/>
  <c r="J856" i="17" s="1"/>
  <c r="O856" i="17" s="1"/>
  <c r="I856" i="17"/>
  <c r="N856" i="17" s="1"/>
  <c r="L855" i="17" a="1"/>
  <c r="L855" i="17" s="1"/>
  <c r="M855" i="17" s="1"/>
  <c r="K855" i="17" a="1"/>
  <c r="K855" i="17" s="1"/>
  <c r="J855" i="17" a="1"/>
  <c r="J855" i="17" s="1"/>
  <c r="O855" i="17" s="1"/>
  <c r="I855" i="17"/>
  <c r="N855" i="17" s="1"/>
  <c r="L854" i="17" a="1"/>
  <c r="L854" i="17" s="1"/>
  <c r="M854" i="17" s="1"/>
  <c r="K854" i="17" a="1"/>
  <c r="K854" i="17" s="1"/>
  <c r="J854" i="17" a="1"/>
  <c r="J854" i="17" s="1"/>
  <c r="O854" i="17" s="1"/>
  <c r="I854" i="17"/>
  <c r="N854" i="17" s="1"/>
  <c r="L853" i="17" a="1"/>
  <c r="L853" i="17" s="1"/>
  <c r="M853" i="17" s="1"/>
  <c r="K853" i="17" a="1"/>
  <c r="K853" i="17" s="1"/>
  <c r="J853" i="17" a="1"/>
  <c r="J853" i="17" s="1"/>
  <c r="O853" i="17" s="1"/>
  <c r="I853" i="17"/>
  <c r="N853" i="17" s="1"/>
  <c r="L852" i="17" a="1"/>
  <c r="L852" i="17" s="1"/>
  <c r="M852" i="17" s="1"/>
  <c r="K852" i="17" a="1"/>
  <c r="K852" i="17" s="1"/>
  <c r="J852" i="17" a="1"/>
  <c r="J852" i="17" s="1"/>
  <c r="O852" i="17" s="1"/>
  <c r="I852" i="17"/>
  <c r="N852" i="17" s="1"/>
  <c r="L851" i="17" a="1"/>
  <c r="L851" i="17" s="1"/>
  <c r="M851" i="17" s="1"/>
  <c r="K851" i="17" a="1"/>
  <c r="K851" i="17" s="1"/>
  <c r="J851" i="17" a="1"/>
  <c r="J851" i="17" s="1"/>
  <c r="O851" i="17" s="1"/>
  <c r="I851" i="17"/>
  <c r="N851" i="17" s="1"/>
  <c r="L850" i="17" a="1"/>
  <c r="L850" i="17" s="1"/>
  <c r="M850" i="17" s="1"/>
  <c r="K850" i="17" a="1"/>
  <c r="K850" i="17" s="1"/>
  <c r="J850" i="17" a="1"/>
  <c r="J850" i="17" s="1"/>
  <c r="O850" i="17" s="1"/>
  <c r="I850" i="17"/>
  <c r="N850" i="17" s="1"/>
  <c r="L849" i="17" a="1"/>
  <c r="L849" i="17" s="1"/>
  <c r="M849" i="17" s="1"/>
  <c r="K849" i="17" a="1"/>
  <c r="K849" i="17" s="1"/>
  <c r="J849" i="17" a="1"/>
  <c r="J849" i="17" s="1"/>
  <c r="O849" i="17" s="1"/>
  <c r="I849" i="17"/>
  <c r="N849" i="17" s="1"/>
  <c r="L848" i="17" a="1"/>
  <c r="L848" i="17" s="1"/>
  <c r="M848" i="17" s="1"/>
  <c r="K848" i="17" a="1"/>
  <c r="K848" i="17" s="1"/>
  <c r="J848" i="17" a="1"/>
  <c r="J848" i="17" s="1"/>
  <c r="O848" i="17" s="1"/>
  <c r="I848" i="17"/>
  <c r="N848" i="17" s="1"/>
  <c r="L847" i="17" a="1"/>
  <c r="L847" i="17" s="1"/>
  <c r="M847" i="17" s="1"/>
  <c r="K847" i="17" a="1"/>
  <c r="K847" i="17" s="1"/>
  <c r="J847" i="17" a="1"/>
  <c r="J847" i="17" s="1"/>
  <c r="O847" i="17" s="1"/>
  <c r="I847" i="17"/>
  <c r="N847" i="17" s="1"/>
  <c r="L846" i="17" a="1"/>
  <c r="L846" i="17" s="1"/>
  <c r="M846" i="17" s="1"/>
  <c r="K846" i="17" a="1"/>
  <c r="K846" i="17" s="1"/>
  <c r="J846" i="17" a="1"/>
  <c r="J846" i="17" s="1"/>
  <c r="O846" i="17" s="1"/>
  <c r="I846" i="17"/>
  <c r="N846" i="17" s="1"/>
  <c r="L845" i="17" a="1"/>
  <c r="L845" i="17" s="1"/>
  <c r="M845" i="17" s="1"/>
  <c r="K845" i="17" a="1"/>
  <c r="K845" i="17" s="1"/>
  <c r="J845" i="17" a="1"/>
  <c r="J845" i="17" s="1"/>
  <c r="O845" i="17" s="1"/>
  <c r="I845" i="17"/>
  <c r="N845" i="17" s="1"/>
  <c r="L844" i="17" a="1"/>
  <c r="L844" i="17" s="1"/>
  <c r="M844" i="17" s="1"/>
  <c r="K844" i="17" a="1"/>
  <c r="K844" i="17" s="1"/>
  <c r="J844" i="17" a="1"/>
  <c r="J844" i="17" s="1"/>
  <c r="O844" i="17" s="1"/>
  <c r="I844" i="17"/>
  <c r="N844" i="17" s="1"/>
  <c r="L843" i="17" a="1"/>
  <c r="L843" i="17" s="1"/>
  <c r="M843" i="17" s="1"/>
  <c r="K843" i="17" a="1"/>
  <c r="K843" i="17" s="1"/>
  <c r="J843" i="17" a="1"/>
  <c r="J843" i="17" s="1"/>
  <c r="O843" i="17" s="1"/>
  <c r="I843" i="17"/>
  <c r="N843" i="17" s="1"/>
  <c r="L842" i="17" a="1"/>
  <c r="L842" i="17" s="1"/>
  <c r="M842" i="17" s="1"/>
  <c r="K842" i="17" a="1"/>
  <c r="K842" i="17" s="1"/>
  <c r="J842" i="17" a="1"/>
  <c r="J842" i="17" s="1"/>
  <c r="O842" i="17" s="1"/>
  <c r="I842" i="17"/>
  <c r="N842" i="17" s="1"/>
  <c r="L841" i="17" a="1"/>
  <c r="L841" i="17" s="1"/>
  <c r="M841" i="17" s="1"/>
  <c r="K841" i="17" a="1"/>
  <c r="K841" i="17" s="1"/>
  <c r="J841" i="17" a="1"/>
  <c r="J841" i="17" s="1"/>
  <c r="O841" i="17" s="1"/>
  <c r="I841" i="17"/>
  <c r="N841" i="17" s="1"/>
  <c r="L840" i="17" a="1"/>
  <c r="L840" i="17" s="1"/>
  <c r="M840" i="17" s="1"/>
  <c r="K840" i="17" a="1"/>
  <c r="K840" i="17" s="1"/>
  <c r="J840" i="17" a="1"/>
  <c r="J840" i="17" s="1"/>
  <c r="O840" i="17" s="1"/>
  <c r="I840" i="17"/>
  <c r="N840" i="17" s="1"/>
  <c r="L839" i="17" a="1"/>
  <c r="L839" i="17" s="1"/>
  <c r="M839" i="17" s="1"/>
  <c r="K839" i="17" a="1"/>
  <c r="K839" i="17" s="1"/>
  <c r="J839" i="17" a="1"/>
  <c r="J839" i="17" s="1"/>
  <c r="O839" i="17" s="1"/>
  <c r="I839" i="17"/>
  <c r="N839" i="17" s="1"/>
  <c r="L838" i="17" a="1"/>
  <c r="L838" i="17" s="1"/>
  <c r="M838" i="17" s="1"/>
  <c r="K838" i="17" a="1"/>
  <c r="K838" i="17" s="1"/>
  <c r="J838" i="17" a="1"/>
  <c r="J838" i="17" s="1"/>
  <c r="O838" i="17" s="1"/>
  <c r="I838" i="17"/>
  <c r="N838" i="17" s="1"/>
  <c r="L837" i="17" a="1"/>
  <c r="L837" i="17" s="1"/>
  <c r="M837" i="17" s="1"/>
  <c r="K837" i="17" a="1"/>
  <c r="K837" i="17" s="1"/>
  <c r="J837" i="17" a="1"/>
  <c r="J837" i="17" s="1"/>
  <c r="O837" i="17" s="1"/>
  <c r="I837" i="17"/>
  <c r="N837" i="17" s="1"/>
  <c r="L836" i="17" a="1"/>
  <c r="L836" i="17" s="1"/>
  <c r="M836" i="17" s="1"/>
  <c r="K836" i="17" a="1"/>
  <c r="K836" i="17" s="1"/>
  <c r="J836" i="17" a="1"/>
  <c r="J836" i="17" s="1"/>
  <c r="O836" i="17" s="1"/>
  <c r="I836" i="17"/>
  <c r="N836" i="17" s="1"/>
  <c r="L835" i="17" a="1"/>
  <c r="L835" i="17" s="1"/>
  <c r="M835" i="17" s="1"/>
  <c r="K835" i="17" a="1"/>
  <c r="K835" i="17" s="1"/>
  <c r="J835" i="17" a="1"/>
  <c r="J835" i="17" s="1"/>
  <c r="O835" i="17" s="1"/>
  <c r="I835" i="17"/>
  <c r="N835" i="17" s="1"/>
  <c r="L834" i="17" a="1"/>
  <c r="L834" i="17" s="1"/>
  <c r="M834" i="17" s="1"/>
  <c r="K834" i="17" a="1"/>
  <c r="K834" i="17" s="1"/>
  <c r="J834" i="17" a="1"/>
  <c r="J834" i="17" s="1"/>
  <c r="O834" i="17" s="1"/>
  <c r="I834" i="17"/>
  <c r="N834" i="17" s="1"/>
  <c r="L833" i="17" a="1"/>
  <c r="L833" i="17" s="1"/>
  <c r="M833" i="17" s="1"/>
  <c r="K833" i="17" a="1"/>
  <c r="K833" i="17" s="1"/>
  <c r="J833" i="17" a="1"/>
  <c r="J833" i="17" s="1"/>
  <c r="O833" i="17" s="1"/>
  <c r="I833" i="17"/>
  <c r="N833" i="17" s="1"/>
  <c r="L832" i="17" a="1"/>
  <c r="L832" i="17" s="1"/>
  <c r="M832" i="17" s="1"/>
  <c r="K832" i="17" a="1"/>
  <c r="K832" i="17" s="1"/>
  <c r="J832" i="17" a="1"/>
  <c r="J832" i="17" s="1"/>
  <c r="O832" i="17" s="1"/>
  <c r="I832" i="17"/>
  <c r="N832" i="17" s="1"/>
  <c r="L831" i="17" a="1"/>
  <c r="L831" i="17" s="1"/>
  <c r="M831" i="17" s="1"/>
  <c r="K831" i="17" a="1"/>
  <c r="K831" i="17" s="1"/>
  <c r="J831" i="17" a="1"/>
  <c r="J831" i="17" s="1"/>
  <c r="O831" i="17" s="1"/>
  <c r="I831" i="17"/>
  <c r="N831" i="17" s="1"/>
  <c r="L830" i="17" a="1"/>
  <c r="L830" i="17" s="1"/>
  <c r="M830" i="17" s="1"/>
  <c r="K830" i="17" a="1"/>
  <c r="K830" i="17" s="1"/>
  <c r="J830" i="17" a="1"/>
  <c r="J830" i="17" s="1"/>
  <c r="O830" i="17" s="1"/>
  <c r="I830" i="17"/>
  <c r="N830" i="17" s="1"/>
  <c r="L829" i="17" a="1"/>
  <c r="L829" i="17" s="1"/>
  <c r="M829" i="17" s="1"/>
  <c r="K829" i="17" a="1"/>
  <c r="K829" i="17" s="1"/>
  <c r="J829" i="17" a="1"/>
  <c r="J829" i="17" s="1"/>
  <c r="O829" i="17" s="1"/>
  <c r="I829" i="17"/>
  <c r="N829" i="17" s="1"/>
  <c r="L828" i="17" a="1"/>
  <c r="L828" i="17" s="1"/>
  <c r="M828" i="17" s="1"/>
  <c r="K828" i="17" a="1"/>
  <c r="K828" i="17" s="1"/>
  <c r="J828" i="17" a="1"/>
  <c r="J828" i="17" s="1"/>
  <c r="O828" i="17" s="1"/>
  <c r="I828" i="17"/>
  <c r="N828" i="17" s="1"/>
  <c r="L827" i="17" a="1"/>
  <c r="L827" i="17" s="1"/>
  <c r="M827" i="17" s="1"/>
  <c r="K827" i="17" a="1"/>
  <c r="K827" i="17" s="1"/>
  <c r="J827" i="17" a="1"/>
  <c r="J827" i="17" s="1"/>
  <c r="O827" i="17" s="1"/>
  <c r="I827" i="17"/>
  <c r="N827" i="17" s="1"/>
  <c r="L826" i="17" a="1"/>
  <c r="L826" i="17" s="1"/>
  <c r="M826" i="17" s="1"/>
  <c r="K826" i="17" a="1"/>
  <c r="K826" i="17" s="1"/>
  <c r="J826" i="17" a="1"/>
  <c r="J826" i="17" s="1"/>
  <c r="O826" i="17" s="1"/>
  <c r="I826" i="17"/>
  <c r="N826" i="17" s="1"/>
  <c r="L825" i="17" a="1"/>
  <c r="L825" i="17" s="1"/>
  <c r="M825" i="17" s="1"/>
  <c r="K825" i="17" a="1"/>
  <c r="K825" i="17" s="1"/>
  <c r="J825" i="17" a="1"/>
  <c r="J825" i="17" s="1"/>
  <c r="O825" i="17" s="1"/>
  <c r="I825" i="17"/>
  <c r="N825" i="17" s="1"/>
  <c r="L824" i="17" a="1"/>
  <c r="L824" i="17" s="1"/>
  <c r="M824" i="17" s="1"/>
  <c r="K824" i="17" a="1"/>
  <c r="K824" i="17" s="1"/>
  <c r="J824" i="17" a="1"/>
  <c r="J824" i="17" s="1"/>
  <c r="O824" i="17" s="1"/>
  <c r="I824" i="17"/>
  <c r="N824" i="17" s="1"/>
  <c r="L823" i="17" a="1"/>
  <c r="L823" i="17" s="1"/>
  <c r="M823" i="17" s="1"/>
  <c r="K823" i="17" a="1"/>
  <c r="K823" i="17" s="1"/>
  <c r="J823" i="17" a="1"/>
  <c r="J823" i="17" s="1"/>
  <c r="O823" i="17" s="1"/>
  <c r="I823" i="17"/>
  <c r="N823" i="17" s="1"/>
  <c r="L822" i="17" a="1"/>
  <c r="L822" i="17" s="1"/>
  <c r="M822" i="17" s="1"/>
  <c r="K822" i="17" a="1"/>
  <c r="K822" i="17" s="1"/>
  <c r="J822" i="17" a="1"/>
  <c r="J822" i="17" s="1"/>
  <c r="O822" i="17" s="1"/>
  <c r="I822" i="17"/>
  <c r="N822" i="17" s="1"/>
  <c r="L821" i="17" a="1"/>
  <c r="L821" i="17" s="1"/>
  <c r="M821" i="17" s="1"/>
  <c r="K821" i="17" a="1"/>
  <c r="K821" i="17" s="1"/>
  <c r="J821" i="17" a="1"/>
  <c r="J821" i="17" s="1"/>
  <c r="O821" i="17" s="1"/>
  <c r="I821" i="17"/>
  <c r="N821" i="17" s="1"/>
  <c r="L820" i="17" a="1"/>
  <c r="L820" i="17" s="1"/>
  <c r="M820" i="17" s="1"/>
  <c r="K820" i="17" a="1"/>
  <c r="K820" i="17" s="1"/>
  <c r="J820" i="17" a="1"/>
  <c r="J820" i="17" s="1"/>
  <c r="O820" i="17" s="1"/>
  <c r="I820" i="17"/>
  <c r="N820" i="17" s="1"/>
  <c r="L819" i="17" a="1"/>
  <c r="L819" i="17" s="1"/>
  <c r="M819" i="17" s="1"/>
  <c r="K819" i="17" a="1"/>
  <c r="K819" i="17" s="1"/>
  <c r="J819" i="17" a="1"/>
  <c r="J819" i="17" s="1"/>
  <c r="O819" i="17" s="1"/>
  <c r="I819" i="17"/>
  <c r="N819" i="17" s="1"/>
  <c r="L818" i="17" a="1"/>
  <c r="L818" i="17" s="1"/>
  <c r="M818" i="17" s="1"/>
  <c r="K818" i="17" a="1"/>
  <c r="K818" i="17" s="1"/>
  <c r="J818" i="17" a="1"/>
  <c r="J818" i="17" s="1"/>
  <c r="O818" i="17" s="1"/>
  <c r="I818" i="17"/>
  <c r="N818" i="17" s="1"/>
  <c r="L817" i="17" a="1"/>
  <c r="L817" i="17" s="1"/>
  <c r="M817" i="17" s="1"/>
  <c r="K817" i="17" a="1"/>
  <c r="K817" i="17" s="1"/>
  <c r="J817" i="17" a="1"/>
  <c r="J817" i="17" s="1"/>
  <c r="O817" i="17" s="1"/>
  <c r="I817" i="17"/>
  <c r="N817" i="17" s="1"/>
  <c r="L816" i="17" a="1"/>
  <c r="L816" i="17" s="1"/>
  <c r="M816" i="17" s="1"/>
  <c r="K816" i="17" a="1"/>
  <c r="K816" i="17" s="1"/>
  <c r="J816" i="17" a="1"/>
  <c r="J816" i="17" s="1"/>
  <c r="O816" i="17" s="1"/>
  <c r="I816" i="17"/>
  <c r="N816" i="17" s="1"/>
  <c r="L815" i="17" a="1"/>
  <c r="L815" i="17" s="1"/>
  <c r="M815" i="17" s="1"/>
  <c r="K815" i="17" a="1"/>
  <c r="K815" i="17" s="1"/>
  <c r="J815" i="17" a="1"/>
  <c r="J815" i="17" s="1"/>
  <c r="O815" i="17" s="1"/>
  <c r="I815" i="17"/>
  <c r="N815" i="17" s="1"/>
  <c r="L814" i="17" a="1"/>
  <c r="L814" i="17" s="1"/>
  <c r="M814" i="17" s="1"/>
  <c r="K814" i="17" a="1"/>
  <c r="K814" i="17" s="1"/>
  <c r="J814" i="17" a="1"/>
  <c r="J814" i="17" s="1"/>
  <c r="O814" i="17" s="1"/>
  <c r="I814" i="17"/>
  <c r="N814" i="17" s="1"/>
  <c r="L813" i="17"/>
  <c r="M813" i="17" s="1"/>
  <c r="L813" i="17" a="1"/>
  <c r="K813" i="17" a="1"/>
  <c r="K813" i="17" s="1"/>
  <c r="J813" i="17" a="1"/>
  <c r="J813" i="17" s="1"/>
  <c r="O813" i="17" s="1"/>
  <c r="I813" i="17"/>
  <c r="N813" i="17" s="1"/>
  <c r="L812" i="17" a="1"/>
  <c r="L812" i="17" s="1"/>
  <c r="M812" i="17" s="1"/>
  <c r="K812" i="17" a="1"/>
  <c r="K812" i="17" s="1"/>
  <c r="J812" i="17" a="1"/>
  <c r="J812" i="17" s="1"/>
  <c r="O812" i="17" s="1"/>
  <c r="I812" i="17"/>
  <c r="N812" i="17" s="1"/>
  <c r="L811" i="17" a="1"/>
  <c r="L811" i="17" s="1"/>
  <c r="M811" i="17" s="1"/>
  <c r="K811" i="17" a="1"/>
  <c r="K811" i="17" s="1"/>
  <c r="J811" i="17" a="1"/>
  <c r="J811" i="17" s="1"/>
  <c r="O811" i="17" s="1"/>
  <c r="I811" i="17"/>
  <c r="N811" i="17" s="1"/>
  <c r="L810" i="17" a="1"/>
  <c r="L810" i="17" s="1"/>
  <c r="M810" i="17" s="1"/>
  <c r="K810" i="17" a="1"/>
  <c r="K810" i="17" s="1"/>
  <c r="J810" i="17" a="1"/>
  <c r="J810" i="17" s="1"/>
  <c r="O810" i="17" s="1"/>
  <c r="I810" i="17"/>
  <c r="N810" i="17" s="1"/>
  <c r="L809" i="17" a="1"/>
  <c r="L809" i="17" s="1"/>
  <c r="M809" i="17" s="1"/>
  <c r="K809" i="17" a="1"/>
  <c r="K809" i="17" s="1"/>
  <c r="J809" i="17" a="1"/>
  <c r="J809" i="17" s="1"/>
  <c r="O809" i="17" s="1"/>
  <c r="I809" i="17"/>
  <c r="N809" i="17" s="1"/>
  <c r="L808" i="17" a="1"/>
  <c r="L808" i="17" s="1"/>
  <c r="M808" i="17" s="1"/>
  <c r="K808" i="17" a="1"/>
  <c r="K808" i="17" s="1"/>
  <c r="J808" i="17" a="1"/>
  <c r="J808" i="17" s="1"/>
  <c r="O808" i="17" s="1"/>
  <c r="I808" i="17"/>
  <c r="N808" i="17" s="1"/>
  <c r="L807" i="17" a="1"/>
  <c r="L807" i="17" s="1"/>
  <c r="M807" i="17" s="1"/>
  <c r="K807" i="17" a="1"/>
  <c r="K807" i="17" s="1"/>
  <c r="J807" i="17" a="1"/>
  <c r="J807" i="17" s="1"/>
  <c r="O807" i="17" s="1"/>
  <c r="I807" i="17"/>
  <c r="N807" i="17" s="1"/>
  <c r="L806" i="17" a="1"/>
  <c r="L806" i="17" s="1"/>
  <c r="M806" i="17" s="1"/>
  <c r="K806" i="17" a="1"/>
  <c r="K806" i="17" s="1"/>
  <c r="J806" i="17" a="1"/>
  <c r="J806" i="17" s="1"/>
  <c r="O806" i="17" s="1"/>
  <c r="I806" i="17"/>
  <c r="N806" i="17" s="1"/>
  <c r="L805" i="17" a="1"/>
  <c r="L805" i="17" s="1"/>
  <c r="M805" i="17" s="1"/>
  <c r="K805" i="17" a="1"/>
  <c r="K805" i="17" s="1"/>
  <c r="J805" i="17" a="1"/>
  <c r="J805" i="17" s="1"/>
  <c r="O805" i="17" s="1"/>
  <c r="I805" i="17"/>
  <c r="N805" i="17" s="1"/>
  <c r="L804" i="17" a="1"/>
  <c r="L804" i="17" s="1"/>
  <c r="M804" i="17" s="1"/>
  <c r="K804" i="17" a="1"/>
  <c r="K804" i="17" s="1"/>
  <c r="J804" i="17" a="1"/>
  <c r="J804" i="17" s="1"/>
  <c r="O804" i="17" s="1"/>
  <c r="I804" i="17"/>
  <c r="N804" i="17" s="1"/>
  <c r="L803" i="17" a="1"/>
  <c r="L803" i="17" s="1"/>
  <c r="M803" i="17" s="1"/>
  <c r="K803" i="17" a="1"/>
  <c r="K803" i="17" s="1"/>
  <c r="J803" i="17" a="1"/>
  <c r="J803" i="17" s="1"/>
  <c r="O803" i="17" s="1"/>
  <c r="I803" i="17"/>
  <c r="N803" i="17" s="1"/>
  <c r="L802" i="17" a="1"/>
  <c r="L802" i="17" s="1"/>
  <c r="M802" i="17" s="1"/>
  <c r="K802" i="17" a="1"/>
  <c r="K802" i="17" s="1"/>
  <c r="J802" i="17" a="1"/>
  <c r="J802" i="17" s="1"/>
  <c r="O802" i="17" s="1"/>
  <c r="I802" i="17"/>
  <c r="N802" i="17" s="1"/>
  <c r="L801" i="17" a="1"/>
  <c r="L801" i="17" s="1"/>
  <c r="M801" i="17" s="1"/>
  <c r="K801" i="17" a="1"/>
  <c r="K801" i="17" s="1"/>
  <c r="J801" i="17" a="1"/>
  <c r="J801" i="17" s="1"/>
  <c r="O801" i="17" s="1"/>
  <c r="I801" i="17"/>
  <c r="N801" i="17" s="1"/>
  <c r="L800" i="17" a="1"/>
  <c r="L800" i="17" s="1"/>
  <c r="M800" i="17" s="1"/>
  <c r="K800" i="17" a="1"/>
  <c r="K800" i="17" s="1"/>
  <c r="J800" i="17" a="1"/>
  <c r="J800" i="17" s="1"/>
  <c r="O800" i="17" s="1"/>
  <c r="I800" i="17"/>
  <c r="N800" i="17" s="1"/>
  <c r="L799" i="17" a="1"/>
  <c r="L799" i="17" s="1"/>
  <c r="M799" i="17" s="1"/>
  <c r="K799" i="17" a="1"/>
  <c r="K799" i="17" s="1"/>
  <c r="J799" i="17" a="1"/>
  <c r="J799" i="17" s="1"/>
  <c r="O799" i="17" s="1"/>
  <c r="I799" i="17"/>
  <c r="N799" i="17" s="1"/>
  <c r="L798" i="17" a="1"/>
  <c r="L798" i="17" s="1"/>
  <c r="M798" i="17" s="1"/>
  <c r="K798" i="17" a="1"/>
  <c r="K798" i="17" s="1"/>
  <c r="J798" i="17" a="1"/>
  <c r="J798" i="17" s="1"/>
  <c r="O798" i="17" s="1"/>
  <c r="I798" i="17"/>
  <c r="N798" i="17" s="1"/>
  <c r="L797" i="17" a="1"/>
  <c r="L797" i="17" s="1"/>
  <c r="M797" i="17" s="1"/>
  <c r="K797" i="17" a="1"/>
  <c r="K797" i="17" s="1"/>
  <c r="J797" i="17" a="1"/>
  <c r="J797" i="17" s="1"/>
  <c r="O797" i="17" s="1"/>
  <c r="I797" i="17"/>
  <c r="N797" i="17" s="1"/>
  <c r="L796" i="17" a="1"/>
  <c r="L796" i="17" s="1"/>
  <c r="M796" i="17" s="1"/>
  <c r="K796" i="17" a="1"/>
  <c r="K796" i="17" s="1"/>
  <c r="J796" i="17" a="1"/>
  <c r="J796" i="17" s="1"/>
  <c r="O796" i="17" s="1"/>
  <c r="I796" i="17"/>
  <c r="N796" i="17" s="1"/>
  <c r="L795" i="17" a="1"/>
  <c r="L795" i="17" s="1"/>
  <c r="M795" i="17" s="1"/>
  <c r="K795" i="17" a="1"/>
  <c r="K795" i="17" s="1"/>
  <c r="J795" i="17" a="1"/>
  <c r="J795" i="17" s="1"/>
  <c r="O795" i="17" s="1"/>
  <c r="I795" i="17"/>
  <c r="N795" i="17" s="1"/>
  <c r="L794" i="17" a="1"/>
  <c r="L794" i="17" s="1"/>
  <c r="M794" i="17" s="1"/>
  <c r="K794" i="17" a="1"/>
  <c r="K794" i="17" s="1"/>
  <c r="J794" i="17" a="1"/>
  <c r="J794" i="17" s="1"/>
  <c r="O794" i="17" s="1"/>
  <c r="I794" i="17"/>
  <c r="N794" i="17" s="1"/>
  <c r="L793" i="17" a="1"/>
  <c r="L793" i="17" s="1"/>
  <c r="M793" i="17" s="1"/>
  <c r="K793" i="17" a="1"/>
  <c r="K793" i="17" s="1"/>
  <c r="J793" i="17" a="1"/>
  <c r="J793" i="17" s="1"/>
  <c r="O793" i="17" s="1"/>
  <c r="I793" i="17"/>
  <c r="N793" i="17" s="1"/>
  <c r="L792" i="17" a="1"/>
  <c r="L792" i="17" s="1"/>
  <c r="M792" i="17" s="1"/>
  <c r="K792" i="17" a="1"/>
  <c r="K792" i="17" s="1"/>
  <c r="J792" i="17" a="1"/>
  <c r="J792" i="17" s="1"/>
  <c r="O792" i="17" s="1"/>
  <c r="I792" i="17"/>
  <c r="N792" i="17" s="1"/>
  <c r="L791" i="17" a="1"/>
  <c r="L791" i="17" s="1"/>
  <c r="M791" i="17" s="1"/>
  <c r="K791" i="17" a="1"/>
  <c r="K791" i="17" s="1"/>
  <c r="J791" i="17" a="1"/>
  <c r="J791" i="17" s="1"/>
  <c r="O791" i="17" s="1"/>
  <c r="I791" i="17"/>
  <c r="N791" i="17" s="1"/>
  <c r="L790" i="17" a="1"/>
  <c r="L790" i="17" s="1"/>
  <c r="M790" i="17" s="1"/>
  <c r="K790" i="17" a="1"/>
  <c r="K790" i="17" s="1"/>
  <c r="J790" i="17" a="1"/>
  <c r="J790" i="17" s="1"/>
  <c r="O790" i="17" s="1"/>
  <c r="I790" i="17"/>
  <c r="N790" i="17" s="1"/>
  <c r="L789" i="17" a="1"/>
  <c r="L789" i="17" s="1"/>
  <c r="M789" i="17" s="1"/>
  <c r="K789" i="17" a="1"/>
  <c r="K789" i="17" s="1"/>
  <c r="J789" i="17" a="1"/>
  <c r="J789" i="17" s="1"/>
  <c r="O789" i="17" s="1"/>
  <c r="I789" i="17"/>
  <c r="N789" i="17" s="1"/>
  <c r="L788" i="17" a="1"/>
  <c r="L788" i="17" s="1"/>
  <c r="M788" i="17" s="1"/>
  <c r="K788" i="17" a="1"/>
  <c r="K788" i="17" s="1"/>
  <c r="J788" i="17" a="1"/>
  <c r="J788" i="17" s="1"/>
  <c r="O788" i="17" s="1"/>
  <c r="I788" i="17"/>
  <c r="N788" i="17" s="1"/>
  <c r="L787" i="17" a="1"/>
  <c r="L787" i="17" s="1"/>
  <c r="M787" i="17" s="1"/>
  <c r="K787" i="17" a="1"/>
  <c r="K787" i="17" s="1"/>
  <c r="J787" i="17" a="1"/>
  <c r="J787" i="17" s="1"/>
  <c r="O787" i="17" s="1"/>
  <c r="I787" i="17"/>
  <c r="N787" i="17" s="1"/>
  <c r="L786" i="17" a="1"/>
  <c r="L786" i="17" s="1"/>
  <c r="M786" i="17" s="1"/>
  <c r="K786" i="17" a="1"/>
  <c r="K786" i="17" s="1"/>
  <c r="J786" i="17" a="1"/>
  <c r="J786" i="17" s="1"/>
  <c r="O786" i="17" s="1"/>
  <c r="I786" i="17"/>
  <c r="N786" i="17" s="1"/>
  <c r="L785" i="17" a="1"/>
  <c r="L785" i="17" s="1"/>
  <c r="M785" i="17" s="1"/>
  <c r="K785" i="17" a="1"/>
  <c r="K785" i="17" s="1"/>
  <c r="J785" i="17" a="1"/>
  <c r="J785" i="17" s="1"/>
  <c r="O785" i="17" s="1"/>
  <c r="I785" i="17"/>
  <c r="N785" i="17" s="1"/>
  <c r="L784" i="17" a="1"/>
  <c r="L784" i="17" s="1"/>
  <c r="M784" i="17" s="1"/>
  <c r="K784" i="17" a="1"/>
  <c r="K784" i="17" s="1"/>
  <c r="J784" i="17" a="1"/>
  <c r="J784" i="17" s="1"/>
  <c r="O784" i="17" s="1"/>
  <c r="I784" i="17"/>
  <c r="N784" i="17" s="1"/>
  <c r="L783" i="17" a="1"/>
  <c r="L783" i="17" s="1"/>
  <c r="M783" i="17" s="1"/>
  <c r="K783" i="17" a="1"/>
  <c r="K783" i="17" s="1"/>
  <c r="J783" i="17" a="1"/>
  <c r="J783" i="17" s="1"/>
  <c r="O783" i="17" s="1"/>
  <c r="I783" i="17"/>
  <c r="N783" i="17" s="1"/>
  <c r="L782" i="17" a="1"/>
  <c r="L782" i="17" s="1"/>
  <c r="M782" i="17" s="1"/>
  <c r="K782" i="17" a="1"/>
  <c r="K782" i="17" s="1"/>
  <c r="J782" i="17" a="1"/>
  <c r="J782" i="17" s="1"/>
  <c r="O782" i="17" s="1"/>
  <c r="I782" i="17"/>
  <c r="N782" i="17" s="1"/>
  <c r="L781" i="17" a="1"/>
  <c r="L781" i="17" s="1"/>
  <c r="M781" i="17" s="1"/>
  <c r="K781" i="17" a="1"/>
  <c r="K781" i="17" s="1"/>
  <c r="J781" i="17" a="1"/>
  <c r="J781" i="17" s="1"/>
  <c r="O781" i="17" s="1"/>
  <c r="I781" i="17"/>
  <c r="N781" i="17" s="1"/>
  <c r="L780" i="17" a="1"/>
  <c r="L780" i="17" s="1"/>
  <c r="M780" i="17" s="1"/>
  <c r="K780" i="17" a="1"/>
  <c r="K780" i="17" s="1"/>
  <c r="J780" i="17" a="1"/>
  <c r="J780" i="17" s="1"/>
  <c r="O780" i="17" s="1"/>
  <c r="I780" i="17"/>
  <c r="N780" i="17" s="1"/>
  <c r="L779" i="17" a="1"/>
  <c r="L779" i="17" s="1"/>
  <c r="M779" i="17" s="1"/>
  <c r="K779" i="17" a="1"/>
  <c r="K779" i="17" s="1"/>
  <c r="J779" i="17" a="1"/>
  <c r="J779" i="17" s="1"/>
  <c r="O779" i="17" s="1"/>
  <c r="I779" i="17"/>
  <c r="N779" i="17" s="1"/>
  <c r="L778" i="17" a="1"/>
  <c r="L778" i="17" s="1"/>
  <c r="M778" i="17" s="1"/>
  <c r="K778" i="17" a="1"/>
  <c r="K778" i="17" s="1"/>
  <c r="J778" i="17" a="1"/>
  <c r="J778" i="17" s="1"/>
  <c r="O778" i="17" s="1"/>
  <c r="I778" i="17"/>
  <c r="N778" i="17" s="1"/>
  <c r="L777" i="17" a="1"/>
  <c r="L777" i="17" s="1"/>
  <c r="M777" i="17" s="1"/>
  <c r="K777" i="17" a="1"/>
  <c r="K777" i="17" s="1"/>
  <c r="J777" i="17" a="1"/>
  <c r="J777" i="17" s="1"/>
  <c r="O777" i="17" s="1"/>
  <c r="I777" i="17"/>
  <c r="N777" i="17" s="1"/>
  <c r="L776" i="17" a="1"/>
  <c r="L776" i="17" s="1"/>
  <c r="M776" i="17" s="1"/>
  <c r="K776" i="17" a="1"/>
  <c r="K776" i="17" s="1"/>
  <c r="J776" i="17" a="1"/>
  <c r="J776" i="17" s="1"/>
  <c r="O776" i="17" s="1"/>
  <c r="I776" i="17"/>
  <c r="N776" i="17" s="1"/>
  <c r="L775" i="17" a="1"/>
  <c r="L775" i="17" s="1"/>
  <c r="M775" i="17" s="1"/>
  <c r="K775" i="17" a="1"/>
  <c r="K775" i="17" s="1"/>
  <c r="J775" i="17" a="1"/>
  <c r="J775" i="17" s="1"/>
  <c r="O775" i="17" s="1"/>
  <c r="I775" i="17"/>
  <c r="N775" i="17" s="1"/>
  <c r="L774" i="17" a="1"/>
  <c r="L774" i="17" s="1"/>
  <c r="M774" i="17" s="1"/>
  <c r="K774" i="17" a="1"/>
  <c r="K774" i="17" s="1"/>
  <c r="J774" i="17" a="1"/>
  <c r="J774" i="17" s="1"/>
  <c r="O774" i="17" s="1"/>
  <c r="I774" i="17"/>
  <c r="N774" i="17" s="1"/>
  <c r="L773" i="17" a="1"/>
  <c r="L773" i="17" s="1"/>
  <c r="M773" i="17" s="1"/>
  <c r="K773" i="17" a="1"/>
  <c r="K773" i="17" s="1"/>
  <c r="J773" i="17" a="1"/>
  <c r="J773" i="17" s="1"/>
  <c r="O773" i="17" s="1"/>
  <c r="I773" i="17"/>
  <c r="N773" i="17" s="1"/>
  <c r="L772" i="17" a="1"/>
  <c r="L772" i="17" s="1"/>
  <c r="M772" i="17" s="1"/>
  <c r="K772" i="17" a="1"/>
  <c r="K772" i="17" s="1"/>
  <c r="J772" i="17" a="1"/>
  <c r="J772" i="17" s="1"/>
  <c r="O772" i="17" s="1"/>
  <c r="I772" i="17"/>
  <c r="N772" i="17" s="1"/>
  <c r="L771" i="17" a="1"/>
  <c r="L771" i="17" s="1"/>
  <c r="M771" i="17" s="1"/>
  <c r="K771" i="17" a="1"/>
  <c r="K771" i="17" s="1"/>
  <c r="J771" i="17" a="1"/>
  <c r="J771" i="17" s="1"/>
  <c r="O771" i="17" s="1"/>
  <c r="I771" i="17"/>
  <c r="N771" i="17" s="1"/>
  <c r="L770" i="17" a="1"/>
  <c r="L770" i="17" s="1"/>
  <c r="M770" i="17" s="1"/>
  <c r="K770" i="17" a="1"/>
  <c r="K770" i="17" s="1"/>
  <c r="J770" i="17" a="1"/>
  <c r="J770" i="17" s="1"/>
  <c r="O770" i="17" s="1"/>
  <c r="I770" i="17"/>
  <c r="N770" i="17" s="1"/>
  <c r="L769" i="17" a="1"/>
  <c r="L769" i="17" s="1"/>
  <c r="M769" i="17" s="1"/>
  <c r="K769" i="17" a="1"/>
  <c r="K769" i="17" s="1"/>
  <c r="J769" i="17" a="1"/>
  <c r="J769" i="17" s="1"/>
  <c r="O769" i="17" s="1"/>
  <c r="I769" i="17"/>
  <c r="N769" i="17" s="1"/>
  <c r="L768" i="17" a="1"/>
  <c r="L768" i="17" s="1"/>
  <c r="M768" i="17" s="1"/>
  <c r="K768" i="17" a="1"/>
  <c r="K768" i="17" s="1"/>
  <c r="J768" i="17" a="1"/>
  <c r="J768" i="17" s="1"/>
  <c r="O768" i="17" s="1"/>
  <c r="I768" i="17"/>
  <c r="N768" i="17" s="1"/>
  <c r="L767" i="17" a="1"/>
  <c r="L767" i="17" s="1"/>
  <c r="M767" i="17" s="1"/>
  <c r="K767" i="17" a="1"/>
  <c r="K767" i="17" s="1"/>
  <c r="J767" i="17" a="1"/>
  <c r="J767" i="17" s="1"/>
  <c r="O767" i="17" s="1"/>
  <c r="I767" i="17"/>
  <c r="N767" i="17" s="1"/>
  <c r="L766" i="17" a="1"/>
  <c r="L766" i="17" s="1"/>
  <c r="M766" i="17" s="1"/>
  <c r="K766" i="17" a="1"/>
  <c r="K766" i="17" s="1"/>
  <c r="J766" i="17" a="1"/>
  <c r="J766" i="17" s="1"/>
  <c r="O766" i="17" s="1"/>
  <c r="I766" i="17"/>
  <c r="N766" i="17" s="1"/>
  <c r="L765" i="17" a="1"/>
  <c r="L765" i="17" s="1"/>
  <c r="M765" i="17" s="1"/>
  <c r="K765" i="17" a="1"/>
  <c r="K765" i="17" s="1"/>
  <c r="J765" i="17" a="1"/>
  <c r="J765" i="17" s="1"/>
  <c r="O765" i="17" s="1"/>
  <c r="I765" i="17"/>
  <c r="N765" i="17" s="1"/>
  <c r="L764" i="17" a="1"/>
  <c r="L764" i="17" s="1"/>
  <c r="M764" i="17" s="1"/>
  <c r="K764" i="17" a="1"/>
  <c r="K764" i="17" s="1"/>
  <c r="J764" i="17" a="1"/>
  <c r="J764" i="17" s="1"/>
  <c r="O764" i="17" s="1"/>
  <c r="I764" i="17"/>
  <c r="N764" i="17" s="1"/>
  <c r="L763" i="17" a="1"/>
  <c r="L763" i="17" s="1"/>
  <c r="M763" i="17" s="1"/>
  <c r="K763" i="17" a="1"/>
  <c r="K763" i="17" s="1"/>
  <c r="J763" i="17" a="1"/>
  <c r="J763" i="17" s="1"/>
  <c r="O763" i="17" s="1"/>
  <c r="I763" i="17"/>
  <c r="N763" i="17" s="1"/>
  <c r="L762" i="17" a="1"/>
  <c r="L762" i="17" s="1"/>
  <c r="M762" i="17" s="1"/>
  <c r="K762" i="17" a="1"/>
  <c r="K762" i="17" s="1"/>
  <c r="J762" i="17" a="1"/>
  <c r="J762" i="17" s="1"/>
  <c r="O762" i="17" s="1"/>
  <c r="I762" i="17"/>
  <c r="N762" i="17" s="1"/>
  <c r="L761" i="17" a="1"/>
  <c r="L761" i="17" s="1"/>
  <c r="M761" i="17" s="1"/>
  <c r="K761" i="17" a="1"/>
  <c r="K761" i="17" s="1"/>
  <c r="J761" i="17" a="1"/>
  <c r="J761" i="17" s="1"/>
  <c r="O761" i="17" s="1"/>
  <c r="I761" i="17"/>
  <c r="N761" i="17" s="1"/>
  <c r="L760" i="17" a="1"/>
  <c r="L760" i="17" s="1"/>
  <c r="M760" i="17" s="1"/>
  <c r="K760" i="17" a="1"/>
  <c r="K760" i="17" s="1"/>
  <c r="J760" i="17" a="1"/>
  <c r="J760" i="17" s="1"/>
  <c r="O760" i="17" s="1"/>
  <c r="I760" i="17"/>
  <c r="N760" i="17" s="1"/>
  <c r="L759" i="17" a="1"/>
  <c r="L759" i="17" s="1"/>
  <c r="M759" i="17" s="1"/>
  <c r="K759" i="17" a="1"/>
  <c r="K759" i="17" s="1"/>
  <c r="J759" i="17" a="1"/>
  <c r="J759" i="17" s="1"/>
  <c r="O759" i="17" s="1"/>
  <c r="I759" i="17"/>
  <c r="N759" i="17" s="1"/>
  <c r="L758" i="17" a="1"/>
  <c r="L758" i="17" s="1"/>
  <c r="M758" i="17" s="1"/>
  <c r="K758" i="17" a="1"/>
  <c r="K758" i="17" s="1"/>
  <c r="J758" i="17" a="1"/>
  <c r="J758" i="17" s="1"/>
  <c r="O758" i="17" s="1"/>
  <c r="I758" i="17"/>
  <c r="N758" i="17" s="1"/>
  <c r="L757" i="17" a="1"/>
  <c r="L757" i="17" s="1"/>
  <c r="M757" i="17" s="1"/>
  <c r="K757" i="17" a="1"/>
  <c r="K757" i="17" s="1"/>
  <c r="J757" i="17" a="1"/>
  <c r="J757" i="17" s="1"/>
  <c r="O757" i="17" s="1"/>
  <c r="I757" i="17"/>
  <c r="N757" i="17" s="1"/>
  <c r="L756" i="17" a="1"/>
  <c r="L756" i="17" s="1"/>
  <c r="M756" i="17" s="1"/>
  <c r="K756" i="17" a="1"/>
  <c r="K756" i="17" s="1"/>
  <c r="J756" i="17" a="1"/>
  <c r="J756" i="17" s="1"/>
  <c r="O756" i="17" s="1"/>
  <c r="I756" i="17"/>
  <c r="N756" i="17" s="1"/>
  <c r="L755" i="17" a="1"/>
  <c r="L755" i="17" s="1"/>
  <c r="M755" i="17" s="1"/>
  <c r="K755" i="17" a="1"/>
  <c r="K755" i="17" s="1"/>
  <c r="J755" i="17" a="1"/>
  <c r="J755" i="17" s="1"/>
  <c r="O755" i="17" s="1"/>
  <c r="I755" i="17"/>
  <c r="N755" i="17" s="1"/>
  <c r="L754" i="17" a="1"/>
  <c r="L754" i="17" s="1"/>
  <c r="M754" i="17" s="1"/>
  <c r="K754" i="17" a="1"/>
  <c r="K754" i="17" s="1"/>
  <c r="J754" i="17" a="1"/>
  <c r="J754" i="17" s="1"/>
  <c r="O754" i="17" s="1"/>
  <c r="I754" i="17"/>
  <c r="N754" i="17" s="1"/>
  <c r="L753" i="17" a="1"/>
  <c r="L753" i="17" s="1"/>
  <c r="M753" i="17" s="1"/>
  <c r="K753" i="17" a="1"/>
  <c r="K753" i="17" s="1"/>
  <c r="J753" i="17" a="1"/>
  <c r="J753" i="17" s="1"/>
  <c r="O753" i="17" s="1"/>
  <c r="I753" i="17"/>
  <c r="N753" i="17" s="1"/>
  <c r="L752" i="17" a="1"/>
  <c r="L752" i="17" s="1"/>
  <c r="M752" i="17" s="1"/>
  <c r="K752" i="17" a="1"/>
  <c r="K752" i="17" s="1"/>
  <c r="J752" i="17" a="1"/>
  <c r="J752" i="17" s="1"/>
  <c r="O752" i="17" s="1"/>
  <c r="I752" i="17"/>
  <c r="N752" i="17" s="1"/>
  <c r="L751" i="17" a="1"/>
  <c r="L751" i="17" s="1"/>
  <c r="M751" i="17" s="1"/>
  <c r="K751" i="17" a="1"/>
  <c r="K751" i="17" s="1"/>
  <c r="J751" i="17" a="1"/>
  <c r="J751" i="17" s="1"/>
  <c r="O751" i="17" s="1"/>
  <c r="I751" i="17"/>
  <c r="N751" i="17" s="1"/>
  <c r="L750" i="17" a="1"/>
  <c r="L750" i="17" s="1"/>
  <c r="M750" i="17" s="1"/>
  <c r="K750" i="17" a="1"/>
  <c r="K750" i="17" s="1"/>
  <c r="J750" i="17" a="1"/>
  <c r="J750" i="17" s="1"/>
  <c r="O750" i="17" s="1"/>
  <c r="I750" i="17"/>
  <c r="N750" i="17" s="1"/>
  <c r="L749" i="17" a="1"/>
  <c r="L749" i="17" s="1"/>
  <c r="M749" i="17" s="1"/>
  <c r="K749" i="17" a="1"/>
  <c r="K749" i="17" s="1"/>
  <c r="J749" i="17" a="1"/>
  <c r="J749" i="17" s="1"/>
  <c r="O749" i="17" s="1"/>
  <c r="I749" i="17"/>
  <c r="N749" i="17" s="1"/>
  <c r="L748" i="17" a="1"/>
  <c r="L748" i="17" s="1"/>
  <c r="M748" i="17" s="1"/>
  <c r="K748" i="17" a="1"/>
  <c r="K748" i="17" s="1"/>
  <c r="J748" i="17" a="1"/>
  <c r="J748" i="17" s="1"/>
  <c r="O748" i="17" s="1"/>
  <c r="I748" i="17"/>
  <c r="N748" i="17" s="1"/>
  <c r="L747" i="17" a="1"/>
  <c r="L747" i="17" s="1"/>
  <c r="M747" i="17" s="1"/>
  <c r="K747" i="17" a="1"/>
  <c r="K747" i="17" s="1"/>
  <c r="J747" i="17" a="1"/>
  <c r="J747" i="17" s="1"/>
  <c r="O747" i="17" s="1"/>
  <c r="I747" i="17"/>
  <c r="N747" i="17" s="1"/>
  <c r="L746" i="17" a="1"/>
  <c r="L746" i="17" s="1"/>
  <c r="M746" i="17" s="1"/>
  <c r="K746" i="17" a="1"/>
  <c r="K746" i="17" s="1"/>
  <c r="J746" i="17" a="1"/>
  <c r="J746" i="17" s="1"/>
  <c r="O746" i="17" s="1"/>
  <c r="I746" i="17"/>
  <c r="N746" i="17" s="1"/>
  <c r="L745" i="17" a="1"/>
  <c r="L745" i="17" s="1"/>
  <c r="M745" i="17" s="1"/>
  <c r="K745" i="17" a="1"/>
  <c r="K745" i="17" s="1"/>
  <c r="J745" i="17" a="1"/>
  <c r="J745" i="17" s="1"/>
  <c r="O745" i="17" s="1"/>
  <c r="I745" i="17"/>
  <c r="N745" i="17" s="1"/>
  <c r="L744" i="17" a="1"/>
  <c r="L744" i="17" s="1"/>
  <c r="M744" i="17" s="1"/>
  <c r="K744" i="17" a="1"/>
  <c r="K744" i="17" s="1"/>
  <c r="J744" i="17" a="1"/>
  <c r="J744" i="17" s="1"/>
  <c r="O744" i="17" s="1"/>
  <c r="I744" i="17"/>
  <c r="N744" i="17" s="1"/>
  <c r="L743" i="17" a="1"/>
  <c r="L743" i="17" s="1"/>
  <c r="M743" i="17" s="1"/>
  <c r="K743" i="17" a="1"/>
  <c r="K743" i="17" s="1"/>
  <c r="J743" i="17" a="1"/>
  <c r="J743" i="17" s="1"/>
  <c r="O743" i="17" s="1"/>
  <c r="I743" i="17"/>
  <c r="N743" i="17" s="1"/>
  <c r="L742" i="17" a="1"/>
  <c r="L742" i="17" s="1"/>
  <c r="M742" i="17" s="1"/>
  <c r="K742" i="17" a="1"/>
  <c r="K742" i="17" s="1"/>
  <c r="J742" i="17" a="1"/>
  <c r="J742" i="17" s="1"/>
  <c r="O742" i="17" s="1"/>
  <c r="I742" i="17"/>
  <c r="N742" i="17" s="1"/>
  <c r="L741" i="17" a="1"/>
  <c r="L741" i="17" s="1"/>
  <c r="M741" i="17" s="1"/>
  <c r="K741" i="17" a="1"/>
  <c r="K741" i="17" s="1"/>
  <c r="J741" i="17" a="1"/>
  <c r="J741" i="17" s="1"/>
  <c r="O741" i="17" s="1"/>
  <c r="I741" i="17"/>
  <c r="N741" i="17" s="1"/>
  <c r="L740" i="17" a="1"/>
  <c r="L740" i="17" s="1"/>
  <c r="M740" i="17" s="1"/>
  <c r="K740" i="17" a="1"/>
  <c r="K740" i="17" s="1"/>
  <c r="J740" i="17" a="1"/>
  <c r="J740" i="17" s="1"/>
  <c r="O740" i="17" s="1"/>
  <c r="I740" i="17"/>
  <c r="N740" i="17" s="1"/>
  <c r="L739" i="17" a="1"/>
  <c r="L739" i="17" s="1"/>
  <c r="M739" i="17" s="1"/>
  <c r="K739" i="17" a="1"/>
  <c r="K739" i="17" s="1"/>
  <c r="J739" i="17" a="1"/>
  <c r="J739" i="17" s="1"/>
  <c r="O739" i="17" s="1"/>
  <c r="I739" i="17"/>
  <c r="N739" i="17" s="1"/>
  <c r="L738" i="17" a="1"/>
  <c r="L738" i="17" s="1"/>
  <c r="M738" i="17" s="1"/>
  <c r="K738" i="17" a="1"/>
  <c r="K738" i="17" s="1"/>
  <c r="J738" i="17" a="1"/>
  <c r="J738" i="17" s="1"/>
  <c r="O738" i="17" s="1"/>
  <c r="I738" i="17"/>
  <c r="N738" i="17" s="1"/>
  <c r="L737" i="17" a="1"/>
  <c r="L737" i="17" s="1"/>
  <c r="M737" i="17" s="1"/>
  <c r="K737" i="17" a="1"/>
  <c r="K737" i="17" s="1"/>
  <c r="J737" i="17" a="1"/>
  <c r="J737" i="17" s="1"/>
  <c r="O737" i="17" s="1"/>
  <c r="I737" i="17"/>
  <c r="N737" i="17" s="1"/>
  <c r="L736" i="17" a="1"/>
  <c r="L736" i="17" s="1"/>
  <c r="M736" i="17" s="1"/>
  <c r="K736" i="17" a="1"/>
  <c r="K736" i="17" s="1"/>
  <c r="J736" i="17" a="1"/>
  <c r="J736" i="17" s="1"/>
  <c r="O736" i="17" s="1"/>
  <c r="I736" i="17"/>
  <c r="N736" i="17" s="1"/>
  <c r="L735" i="17" a="1"/>
  <c r="L735" i="17" s="1"/>
  <c r="M735" i="17" s="1"/>
  <c r="K735" i="17" a="1"/>
  <c r="K735" i="17" s="1"/>
  <c r="J735" i="17" a="1"/>
  <c r="J735" i="17" s="1"/>
  <c r="O735" i="17" s="1"/>
  <c r="I735" i="17"/>
  <c r="N735" i="17" s="1"/>
  <c r="L734" i="17" a="1"/>
  <c r="L734" i="17" s="1"/>
  <c r="M734" i="17" s="1"/>
  <c r="K734" i="17" a="1"/>
  <c r="K734" i="17" s="1"/>
  <c r="J734" i="17" a="1"/>
  <c r="J734" i="17" s="1"/>
  <c r="O734" i="17" s="1"/>
  <c r="I734" i="17"/>
  <c r="N734" i="17" s="1"/>
  <c r="L733" i="17" a="1"/>
  <c r="L733" i="17" s="1"/>
  <c r="M733" i="17" s="1"/>
  <c r="K733" i="17" a="1"/>
  <c r="K733" i="17" s="1"/>
  <c r="J733" i="17" a="1"/>
  <c r="J733" i="17" s="1"/>
  <c r="O733" i="17" s="1"/>
  <c r="I733" i="17"/>
  <c r="N733" i="17" s="1"/>
  <c r="L732" i="17" a="1"/>
  <c r="L732" i="17" s="1"/>
  <c r="M732" i="17" s="1"/>
  <c r="K732" i="17" a="1"/>
  <c r="K732" i="17" s="1"/>
  <c r="J732" i="17" a="1"/>
  <c r="J732" i="17" s="1"/>
  <c r="O732" i="17" s="1"/>
  <c r="I732" i="17"/>
  <c r="N732" i="17" s="1"/>
  <c r="L731" i="17" a="1"/>
  <c r="L731" i="17" s="1"/>
  <c r="M731" i="17" s="1"/>
  <c r="K731" i="17" a="1"/>
  <c r="K731" i="17" s="1"/>
  <c r="J731" i="17" a="1"/>
  <c r="J731" i="17" s="1"/>
  <c r="O731" i="17" s="1"/>
  <c r="I731" i="17"/>
  <c r="N731" i="17" s="1"/>
  <c r="L730" i="17" a="1"/>
  <c r="L730" i="17" s="1"/>
  <c r="M730" i="17" s="1"/>
  <c r="K730" i="17" a="1"/>
  <c r="K730" i="17" s="1"/>
  <c r="J730" i="17" a="1"/>
  <c r="J730" i="17" s="1"/>
  <c r="O730" i="17" s="1"/>
  <c r="I730" i="17"/>
  <c r="N730" i="17" s="1"/>
  <c r="L729" i="17" a="1"/>
  <c r="L729" i="17" s="1"/>
  <c r="M729" i="17" s="1"/>
  <c r="K729" i="17" a="1"/>
  <c r="K729" i="17" s="1"/>
  <c r="J729" i="17" a="1"/>
  <c r="J729" i="17" s="1"/>
  <c r="O729" i="17" s="1"/>
  <c r="I729" i="17"/>
  <c r="N729" i="17" s="1"/>
  <c r="L728" i="17" a="1"/>
  <c r="L728" i="17" s="1"/>
  <c r="M728" i="17" s="1"/>
  <c r="K728" i="17" a="1"/>
  <c r="K728" i="17" s="1"/>
  <c r="J728" i="17" a="1"/>
  <c r="J728" i="17" s="1"/>
  <c r="O728" i="17" s="1"/>
  <c r="I728" i="17"/>
  <c r="N728" i="17" s="1"/>
  <c r="L727" i="17" a="1"/>
  <c r="L727" i="17" s="1"/>
  <c r="M727" i="17" s="1"/>
  <c r="K727" i="17" a="1"/>
  <c r="K727" i="17" s="1"/>
  <c r="J727" i="17" a="1"/>
  <c r="J727" i="17" s="1"/>
  <c r="O727" i="17" s="1"/>
  <c r="I727" i="17"/>
  <c r="N727" i="17" s="1"/>
  <c r="L726" i="17" a="1"/>
  <c r="L726" i="17" s="1"/>
  <c r="M726" i="17" s="1"/>
  <c r="K726" i="17" a="1"/>
  <c r="K726" i="17" s="1"/>
  <c r="J726" i="17" a="1"/>
  <c r="J726" i="17" s="1"/>
  <c r="O726" i="17" s="1"/>
  <c r="I726" i="17"/>
  <c r="N726" i="17" s="1"/>
  <c r="L725" i="17" a="1"/>
  <c r="L725" i="17" s="1"/>
  <c r="M725" i="17" s="1"/>
  <c r="K725" i="17" a="1"/>
  <c r="K725" i="17" s="1"/>
  <c r="J725" i="17" a="1"/>
  <c r="J725" i="17" s="1"/>
  <c r="O725" i="17" s="1"/>
  <c r="I725" i="17"/>
  <c r="N725" i="17" s="1"/>
  <c r="L724" i="17" a="1"/>
  <c r="L724" i="17" s="1"/>
  <c r="M724" i="17" s="1"/>
  <c r="K724" i="17" a="1"/>
  <c r="K724" i="17" s="1"/>
  <c r="J724" i="17" a="1"/>
  <c r="J724" i="17" s="1"/>
  <c r="O724" i="17" s="1"/>
  <c r="I724" i="17"/>
  <c r="N724" i="17" s="1"/>
  <c r="L723" i="17" a="1"/>
  <c r="L723" i="17" s="1"/>
  <c r="M723" i="17" s="1"/>
  <c r="K723" i="17" a="1"/>
  <c r="K723" i="17" s="1"/>
  <c r="J723" i="17" a="1"/>
  <c r="J723" i="17" s="1"/>
  <c r="O723" i="17" s="1"/>
  <c r="I723" i="17"/>
  <c r="N723" i="17" s="1"/>
  <c r="L722" i="17" a="1"/>
  <c r="L722" i="17" s="1"/>
  <c r="M722" i="17" s="1"/>
  <c r="K722" i="17" a="1"/>
  <c r="K722" i="17" s="1"/>
  <c r="J722" i="17" a="1"/>
  <c r="J722" i="17" s="1"/>
  <c r="O722" i="17" s="1"/>
  <c r="I722" i="17"/>
  <c r="N722" i="17" s="1"/>
  <c r="L721" i="17" a="1"/>
  <c r="L721" i="17" s="1"/>
  <c r="M721" i="17" s="1"/>
  <c r="K721" i="17" a="1"/>
  <c r="K721" i="17" s="1"/>
  <c r="J721" i="17" a="1"/>
  <c r="J721" i="17" s="1"/>
  <c r="O721" i="17" s="1"/>
  <c r="I721" i="17"/>
  <c r="N721" i="17" s="1"/>
  <c r="L720" i="17" a="1"/>
  <c r="L720" i="17" s="1"/>
  <c r="M720" i="17" s="1"/>
  <c r="K720" i="17" a="1"/>
  <c r="K720" i="17" s="1"/>
  <c r="J720" i="17" a="1"/>
  <c r="J720" i="17" s="1"/>
  <c r="O720" i="17" s="1"/>
  <c r="I720" i="17"/>
  <c r="N720" i="17" s="1"/>
  <c r="L719" i="17" a="1"/>
  <c r="L719" i="17" s="1"/>
  <c r="M719" i="17" s="1"/>
  <c r="K719" i="17" a="1"/>
  <c r="K719" i="17" s="1"/>
  <c r="J719" i="17" a="1"/>
  <c r="J719" i="17" s="1"/>
  <c r="O719" i="17" s="1"/>
  <c r="I719" i="17"/>
  <c r="N719" i="17" s="1"/>
  <c r="L718" i="17" a="1"/>
  <c r="L718" i="17" s="1"/>
  <c r="M718" i="17" s="1"/>
  <c r="K718" i="17" a="1"/>
  <c r="K718" i="17" s="1"/>
  <c r="J718" i="17" a="1"/>
  <c r="J718" i="17" s="1"/>
  <c r="O718" i="17" s="1"/>
  <c r="I718" i="17"/>
  <c r="N718" i="17" s="1"/>
  <c r="L717" i="17" a="1"/>
  <c r="L717" i="17" s="1"/>
  <c r="M717" i="17" s="1"/>
  <c r="K717" i="17" a="1"/>
  <c r="K717" i="17" s="1"/>
  <c r="J717" i="17" a="1"/>
  <c r="J717" i="17" s="1"/>
  <c r="O717" i="17" s="1"/>
  <c r="I717" i="17"/>
  <c r="N717" i="17" s="1"/>
  <c r="L716" i="17" a="1"/>
  <c r="L716" i="17" s="1"/>
  <c r="M716" i="17" s="1"/>
  <c r="K716" i="17" a="1"/>
  <c r="K716" i="17" s="1"/>
  <c r="J716" i="17" a="1"/>
  <c r="J716" i="17" s="1"/>
  <c r="O716" i="17" s="1"/>
  <c r="I716" i="17"/>
  <c r="N716" i="17" s="1"/>
  <c r="L715" i="17" a="1"/>
  <c r="L715" i="17" s="1"/>
  <c r="M715" i="17" s="1"/>
  <c r="K715" i="17" a="1"/>
  <c r="K715" i="17" s="1"/>
  <c r="J715" i="17" a="1"/>
  <c r="J715" i="17" s="1"/>
  <c r="O715" i="17" s="1"/>
  <c r="I715" i="17"/>
  <c r="N715" i="17" s="1"/>
  <c r="L714" i="17" a="1"/>
  <c r="L714" i="17" s="1"/>
  <c r="M714" i="17" s="1"/>
  <c r="K714" i="17" a="1"/>
  <c r="K714" i="17" s="1"/>
  <c r="J714" i="17" a="1"/>
  <c r="J714" i="17" s="1"/>
  <c r="O714" i="17" s="1"/>
  <c r="I714" i="17"/>
  <c r="N714" i="17" s="1"/>
  <c r="L713" i="17" a="1"/>
  <c r="L713" i="17" s="1"/>
  <c r="M713" i="17" s="1"/>
  <c r="K713" i="17" a="1"/>
  <c r="K713" i="17" s="1"/>
  <c r="J713" i="17" a="1"/>
  <c r="J713" i="17" s="1"/>
  <c r="O713" i="17" s="1"/>
  <c r="I713" i="17"/>
  <c r="N713" i="17" s="1"/>
  <c r="L712" i="17" a="1"/>
  <c r="L712" i="17" s="1"/>
  <c r="M712" i="17" s="1"/>
  <c r="K712" i="17" a="1"/>
  <c r="K712" i="17" s="1"/>
  <c r="J712" i="17" a="1"/>
  <c r="J712" i="17" s="1"/>
  <c r="O712" i="17" s="1"/>
  <c r="I712" i="17"/>
  <c r="N712" i="17" s="1"/>
  <c r="L711" i="17" a="1"/>
  <c r="L711" i="17" s="1"/>
  <c r="M711" i="17" s="1"/>
  <c r="K711" i="17" a="1"/>
  <c r="K711" i="17" s="1"/>
  <c r="J711" i="17" a="1"/>
  <c r="J711" i="17" s="1"/>
  <c r="O711" i="17" s="1"/>
  <c r="I711" i="17"/>
  <c r="N711" i="17" s="1"/>
  <c r="L710" i="17" a="1"/>
  <c r="L710" i="17" s="1"/>
  <c r="M710" i="17" s="1"/>
  <c r="K710" i="17"/>
  <c r="K710" i="17" a="1"/>
  <c r="J710" i="17" a="1"/>
  <c r="J710" i="17" s="1"/>
  <c r="O710" i="17" s="1"/>
  <c r="I710" i="17"/>
  <c r="N710" i="17" s="1"/>
  <c r="L709" i="17" a="1"/>
  <c r="L709" i="17" s="1"/>
  <c r="M709" i="17" s="1"/>
  <c r="K709" i="17" a="1"/>
  <c r="K709" i="17" s="1"/>
  <c r="J709" i="17" a="1"/>
  <c r="J709" i="17" s="1"/>
  <c r="O709" i="17" s="1"/>
  <c r="I709" i="17"/>
  <c r="N709" i="17" s="1"/>
  <c r="L708" i="17" a="1"/>
  <c r="L708" i="17" s="1"/>
  <c r="M708" i="17" s="1"/>
  <c r="K708" i="17" a="1"/>
  <c r="K708" i="17" s="1"/>
  <c r="J708" i="17" a="1"/>
  <c r="J708" i="17" s="1"/>
  <c r="O708" i="17" s="1"/>
  <c r="I708" i="17"/>
  <c r="N708" i="17" s="1"/>
  <c r="L707" i="17" a="1"/>
  <c r="L707" i="17" s="1"/>
  <c r="M707" i="17" s="1"/>
  <c r="K707" i="17" a="1"/>
  <c r="K707" i="17" s="1"/>
  <c r="J707" i="17" a="1"/>
  <c r="J707" i="17" s="1"/>
  <c r="O707" i="17" s="1"/>
  <c r="I707" i="17"/>
  <c r="N707" i="17" s="1"/>
  <c r="L706" i="17" a="1"/>
  <c r="L706" i="17" s="1"/>
  <c r="M706" i="17" s="1"/>
  <c r="K706" i="17" a="1"/>
  <c r="K706" i="17" s="1"/>
  <c r="J706" i="17" a="1"/>
  <c r="J706" i="17" s="1"/>
  <c r="O706" i="17" s="1"/>
  <c r="I706" i="17"/>
  <c r="N706" i="17" s="1"/>
  <c r="L705" i="17" a="1"/>
  <c r="L705" i="17" s="1"/>
  <c r="M705" i="17" s="1"/>
  <c r="K705" i="17" a="1"/>
  <c r="K705" i="17" s="1"/>
  <c r="J705" i="17" a="1"/>
  <c r="J705" i="17" s="1"/>
  <c r="O705" i="17" s="1"/>
  <c r="I705" i="17"/>
  <c r="N705" i="17" s="1"/>
  <c r="L704" i="17" a="1"/>
  <c r="L704" i="17" s="1"/>
  <c r="M704" i="17" s="1"/>
  <c r="K704" i="17" a="1"/>
  <c r="K704" i="17" s="1"/>
  <c r="J704" i="17" a="1"/>
  <c r="J704" i="17" s="1"/>
  <c r="O704" i="17" s="1"/>
  <c r="I704" i="17"/>
  <c r="N704" i="17" s="1"/>
  <c r="L703" i="17" a="1"/>
  <c r="L703" i="17" s="1"/>
  <c r="M703" i="17" s="1"/>
  <c r="K703" i="17" a="1"/>
  <c r="K703" i="17" s="1"/>
  <c r="J703" i="17" a="1"/>
  <c r="J703" i="17" s="1"/>
  <c r="O703" i="17" s="1"/>
  <c r="I703" i="17"/>
  <c r="N703" i="17" s="1"/>
  <c r="L702" i="17" a="1"/>
  <c r="L702" i="17" s="1"/>
  <c r="M702" i="17" s="1"/>
  <c r="K702" i="17" a="1"/>
  <c r="K702" i="17" s="1"/>
  <c r="J702" i="17"/>
  <c r="O702" i="17" s="1"/>
  <c r="J702" i="17" a="1"/>
  <c r="I702" i="17"/>
  <c r="N702" i="17" s="1"/>
  <c r="L701" i="17" a="1"/>
  <c r="L701" i="17" s="1"/>
  <c r="M701" i="17" s="1"/>
  <c r="K701" i="17" a="1"/>
  <c r="K701" i="17" s="1"/>
  <c r="J701" i="17" a="1"/>
  <c r="J701" i="17" s="1"/>
  <c r="O701" i="17" s="1"/>
  <c r="I701" i="17"/>
  <c r="N701" i="17" s="1"/>
  <c r="L700" i="17" a="1"/>
  <c r="L700" i="17" s="1"/>
  <c r="M700" i="17" s="1"/>
  <c r="K700" i="17" a="1"/>
  <c r="K700" i="17" s="1"/>
  <c r="J700" i="17" a="1"/>
  <c r="J700" i="17" s="1"/>
  <c r="O700" i="17" s="1"/>
  <c r="I700" i="17"/>
  <c r="N700" i="17" s="1"/>
  <c r="L699" i="17" a="1"/>
  <c r="L699" i="17" s="1"/>
  <c r="M699" i="17" s="1"/>
  <c r="K699" i="17" a="1"/>
  <c r="K699" i="17" s="1"/>
  <c r="J699" i="17" a="1"/>
  <c r="J699" i="17" s="1"/>
  <c r="O699" i="17" s="1"/>
  <c r="I699" i="17"/>
  <c r="N699" i="17" s="1"/>
  <c r="L698" i="17" a="1"/>
  <c r="L698" i="17" s="1"/>
  <c r="M698" i="17" s="1"/>
  <c r="K698" i="17" a="1"/>
  <c r="K698" i="17" s="1"/>
  <c r="J698" i="17" a="1"/>
  <c r="J698" i="17" s="1"/>
  <c r="O698" i="17" s="1"/>
  <c r="I698" i="17"/>
  <c r="N698" i="17" s="1"/>
  <c r="L697" i="17" a="1"/>
  <c r="L697" i="17" s="1"/>
  <c r="M697" i="17" s="1"/>
  <c r="K697" i="17" a="1"/>
  <c r="K697" i="17" s="1"/>
  <c r="J697" i="17" a="1"/>
  <c r="J697" i="17" s="1"/>
  <c r="O697" i="17" s="1"/>
  <c r="I697" i="17"/>
  <c r="N697" i="17" s="1"/>
  <c r="L696" i="17" a="1"/>
  <c r="L696" i="17" s="1"/>
  <c r="M696" i="17" s="1"/>
  <c r="K696" i="17" a="1"/>
  <c r="K696" i="17" s="1"/>
  <c r="J696" i="17" a="1"/>
  <c r="J696" i="17" s="1"/>
  <c r="O696" i="17" s="1"/>
  <c r="I696" i="17"/>
  <c r="N696" i="17" s="1"/>
  <c r="L695" i="17" a="1"/>
  <c r="L695" i="17" s="1"/>
  <c r="M695" i="17" s="1"/>
  <c r="K695" i="17" a="1"/>
  <c r="K695" i="17" s="1"/>
  <c r="J695" i="17" a="1"/>
  <c r="J695" i="17" s="1"/>
  <c r="O695" i="17" s="1"/>
  <c r="I695" i="17"/>
  <c r="N695" i="17" s="1"/>
  <c r="L694" i="17" a="1"/>
  <c r="L694" i="17" s="1"/>
  <c r="M694" i="17" s="1"/>
  <c r="K694" i="17" a="1"/>
  <c r="K694" i="17" s="1"/>
  <c r="J694" i="17" a="1"/>
  <c r="J694" i="17" s="1"/>
  <c r="O694" i="17" s="1"/>
  <c r="I694" i="17"/>
  <c r="N694" i="17" s="1"/>
  <c r="L693" i="17" a="1"/>
  <c r="L693" i="17" s="1"/>
  <c r="M693" i="17" s="1"/>
  <c r="K693" i="17" a="1"/>
  <c r="K693" i="17" s="1"/>
  <c r="J693" i="17" a="1"/>
  <c r="J693" i="17" s="1"/>
  <c r="O693" i="17" s="1"/>
  <c r="I693" i="17"/>
  <c r="N693" i="17" s="1"/>
  <c r="L692" i="17" a="1"/>
  <c r="L692" i="17" s="1"/>
  <c r="M692" i="17" s="1"/>
  <c r="K692" i="17" a="1"/>
  <c r="K692" i="17" s="1"/>
  <c r="J692" i="17" a="1"/>
  <c r="J692" i="17" s="1"/>
  <c r="O692" i="17" s="1"/>
  <c r="I692" i="17"/>
  <c r="N692" i="17" s="1"/>
  <c r="L691" i="17" a="1"/>
  <c r="L691" i="17" s="1"/>
  <c r="M691" i="17" s="1"/>
  <c r="K691" i="17" a="1"/>
  <c r="K691" i="17" s="1"/>
  <c r="J691" i="17" a="1"/>
  <c r="J691" i="17" s="1"/>
  <c r="O691" i="17" s="1"/>
  <c r="I691" i="17"/>
  <c r="N691" i="17" s="1"/>
  <c r="L690" i="17" a="1"/>
  <c r="L690" i="17" s="1"/>
  <c r="M690" i="17" s="1"/>
  <c r="K690" i="17" a="1"/>
  <c r="K690" i="17" s="1"/>
  <c r="J690" i="17" a="1"/>
  <c r="J690" i="17" s="1"/>
  <c r="O690" i="17" s="1"/>
  <c r="I690" i="17"/>
  <c r="N690" i="17" s="1"/>
  <c r="L689" i="17" a="1"/>
  <c r="L689" i="17" s="1"/>
  <c r="M689" i="17" s="1"/>
  <c r="K689" i="17" a="1"/>
  <c r="K689" i="17" s="1"/>
  <c r="J689" i="17" a="1"/>
  <c r="J689" i="17" s="1"/>
  <c r="O689" i="17" s="1"/>
  <c r="I689" i="17"/>
  <c r="N689" i="17" s="1"/>
  <c r="L688" i="17" a="1"/>
  <c r="L688" i="17" s="1"/>
  <c r="M688" i="17" s="1"/>
  <c r="K688" i="17" a="1"/>
  <c r="K688" i="17" s="1"/>
  <c r="J688" i="17" a="1"/>
  <c r="J688" i="17" s="1"/>
  <c r="O688" i="17" s="1"/>
  <c r="I688" i="17"/>
  <c r="N688" i="17" s="1"/>
  <c r="L687" i="17" a="1"/>
  <c r="L687" i="17" s="1"/>
  <c r="M687" i="17" s="1"/>
  <c r="K687" i="17" a="1"/>
  <c r="K687" i="17" s="1"/>
  <c r="J687" i="17" a="1"/>
  <c r="J687" i="17" s="1"/>
  <c r="O687" i="17" s="1"/>
  <c r="I687" i="17"/>
  <c r="N687" i="17" s="1"/>
  <c r="L686" i="17" a="1"/>
  <c r="L686" i="17" s="1"/>
  <c r="M686" i="17" s="1"/>
  <c r="K686" i="17" a="1"/>
  <c r="K686" i="17" s="1"/>
  <c r="J686" i="17" a="1"/>
  <c r="J686" i="17" s="1"/>
  <c r="O686" i="17" s="1"/>
  <c r="I686" i="17"/>
  <c r="N686" i="17" s="1"/>
  <c r="L685" i="17" a="1"/>
  <c r="L685" i="17" s="1"/>
  <c r="M685" i="17" s="1"/>
  <c r="K685" i="17" a="1"/>
  <c r="K685" i="17" s="1"/>
  <c r="J685" i="17" a="1"/>
  <c r="J685" i="17" s="1"/>
  <c r="O685" i="17" s="1"/>
  <c r="I685" i="17"/>
  <c r="N685" i="17" s="1"/>
  <c r="L684" i="17" a="1"/>
  <c r="L684" i="17" s="1"/>
  <c r="M684" i="17" s="1"/>
  <c r="K684" i="17" a="1"/>
  <c r="K684" i="17" s="1"/>
  <c r="J684" i="17" a="1"/>
  <c r="J684" i="17" s="1"/>
  <c r="O684" i="17" s="1"/>
  <c r="I684" i="17"/>
  <c r="N684" i="17" s="1"/>
  <c r="L683" i="17" a="1"/>
  <c r="L683" i="17" s="1"/>
  <c r="M683" i="17" s="1"/>
  <c r="K683" i="17" a="1"/>
  <c r="K683" i="17" s="1"/>
  <c r="J683" i="17" a="1"/>
  <c r="J683" i="17" s="1"/>
  <c r="O683" i="17" s="1"/>
  <c r="I683" i="17"/>
  <c r="N683" i="17" s="1"/>
  <c r="L682" i="17" a="1"/>
  <c r="L682" i="17" s="1"/>
  <c r="M682" i="17" s="1"/>
  <c r="K682" i="17" a="1"/>
  <c r="K682" i="17" s="1"/>
  <c r="J682" i="17" a="1"/>
  <c r="J682" i="17" s="1"/>
  <c r="O682" i="17" s="1"/>
  <c r="I682" i="17"/>
  <c r="N682" i="17" s="1"/>
  <c r="L681" i="17" a="1"/>
  <c r="L681" i="17" s="1"/>
  <c r="M681" i="17" s="1"/>
  <c r="K681" i="17" a="1"/>
  <c r="K681" i="17" s="1"/>
  <c r="J681" i="17" a="1"/>
  <c r="J681" i="17" s="1"/>
  <c r="O681" i="17" s="1"/>
  <c r="I681" i="17"/>
  <c r="N681" i="17" s="1"/>
  <c r="L680" i="17" a="1"/>
  <c r="L680" i="17" s="1"/>
  <c r="M680" i="17" s="1"/>
  <c r="K680" i="17" a="1"/>
  <c r="K680" i="17" s="1"/>
  <c r="J680" i="17" a="1"/>
  <c r="J680" i="17" s="1"/>
  <c r="O680" i="17" s="1"/>
  <c r="I680" i="17"/>
  <c r="N680" i="17" s="1"/>
  <c r="L679" i="17" a="1"/>
  <c r="L679" i="17" s="1"/>
  <c r="M679" i="17" s="1"/>
  <c r="K679" i="17" a="1"/>
  <c r="K679" i="17" s="1"/>
  <c r="J679" i="17" a="1"/>
  <c r="J679" i="17" s="1"/>
  <c r="O679" i="17" s="1"/>
  <c r="I679" i="17"/>
  <c r="N679" i="17" s="1"/>
  <c r="L678" i="17" a="1"/>
  <c r="L678" i="17" s="1"/>
  <c r="M678" i="17" s="1"/>
  <c r="K678" i="17" a="1"/>
  <c r="K678" i="17" s="1"/>
  <c r="J678" i="17" a="1"/>
  <c r="J678" i="17" s="1"/>
  <c r="O678" i="17" s="1"/>
  <c r="I678" i="17"/>
  <c r="N678" i="17" s="1"/>
  <c r="L677" i="17" a="1"/>
  <c r="L677" i="17" s="1"/>
  <c r="M677" i="17" s="1"/>
  <c r="K677" i="17" a="1"/>
  <c r="K677" i="17" s="1"/>
  <c r="J677" i="17" a="1"/>
  <c r="J677" i="17" s="1"/>
  <c r="O677" i="17" s="1"/>
  <c r="I677" i="17"/>
  <c r="N677" i="17" s="1"/>
  <c r="L676" i="17" a="1"/>
  <c r="L676" i="17" s="1"/>
  <c r="M676" i="17" s="1"/>
  <c r="K676" i="17" a="1"/>
  <c r="K676" i="17" s="1"/>
  <c r="J676" i="17" a="1"/>
  <c r="J676" i="17" s="1"/>
  <c r="O676" i="17" s="1"/>
  <c r="I676" i="17"/>
  <c r="N676" i="17" s="1"/>
  <c r="L675" i="17" a="1"/>
  <c r="L675" i="17" s="1"/>
  <c r="M675" i="17" s="1"/>
  <c r="K675" i="17" a="1"/>
  <c r="K675" i="17" s="1"/>
  <c r="J675" i="17" a="1"/>
  <c r="J675" i="17" s="1"/>
  <c r="O675" i="17" s="1"/>
  <c r="I675" i="17"/>
  <c r="N675" i="17" s="1"/>
  <c r="L674" i="17" a="1"/>
  <c r="L674" i="17" s="1"/>
  <c r="M674" i="17" s="1"/>
  <c r="K674" i="17" a="1"/>
  <c r="K674" i="17" s="1"/>
  <c r="J674" i="17" a="1"/>
  <c r="J674" i="17" s="1"/>
  <c r="O674" i="17" s="1"/>
  <c r="I674" i="17"/>
  <c r="N674" i="17" s="1"/>
  <c r="L673" i="17" a="1"/>
  <c r="L673" i="17" s="1"/>
  <c r="M673" i="17" s="1"/>
  <c r="K673" i="17" a="1"/>
  <c r="K673" i="17" s="1"/>
  <c r="J673" i="17" a="1"/>
  <c r="J673" i="17" s="1"/>
  <c r="O673" i="17" s="1"/>
  <c r="I673" i="17"/>
  <c r="N673" i="17" s="1"/>
  <c r="L672" i="17" a="1"/>
  <c r="L672" i="17" s="1"/>
  <c r="M672" i="17" s="1"/>
  <c r="K672" i="17" a="1"/>
  <c r="K672" i="17" s="1"/>
  <c r="J672" i="17" a="1"/>
  <c r="J672" i="17" s="1"/>
  <c r="O672" i="17" s="1"/>
  <c r="I672" i="17"/>
  <c r="N672" i="17" s="1"/>
  <c r="L671" i="17" a="1"/>
  <c r="L671" i="17" s="1"/>
  <c r="M671" i="17" s="1"/>
  <c r="K671" i="17" a="1"/>
  <c r="K671" i="17" s="1"/>
  <c r="J671" i="17" a="1"/>
  <c r="J671" i="17" s="1"/>
  <c r="O671" i="17" s="1"/>
  <c r="I671" i="17"/>
  <c r="N671" i="17" s="1"/>
  <c r="L670" i="17" a="1"/>
  <c r="L670" i="17" s="1"/>
  <c r="M670" i="17" s="1"/>
  <c r="K670" i="17" a="1"/>
  <c r="K670" i="17" s="1"/>
  <c r="J670" i="17" a="1"/>
  <c r="J670" i="17" s="1"/>
  <c r="O670" i="17" s="1"/>
  <c r="I670" i="17"/>
  <c r="N670" i="17" s="1"/>
  <c r="L669" i="17" a="1"/>
  <c r="L669" i="17" s="1"/>
  <c r="M669" i="17" s="1"/>
  <c r="K669" i="17" a="1"/>
  <c r="K669" i="17" s="1"/>
  <c r="J669" i="17" a="1"/>
  <c r="J669" i="17" s="1"/>
  <c r="O669" i="17" s="1"/>
  <c r="I669" i="17"/>
  <c r="N669" i="17" s="1"/>
  <c r="L668" i="17" a="1"/>
  <c r="L668" i="17" s="1"/>
  <c r="M668" i="17" s="1"/>
  <c r="K668" i="17" a="1"/>
  <c r="K668" i="17" s="1"/>
  <c r="J668" i="17" a="1"/>
  <c r="J668" i="17" s="1"/>
  <c r="O668" i="17" s="1"/>
  <c r="I668" i="17"/>
  <c r="N668" i="17" s="1"/>
  <c r="L667" i="17" a="1"/>
  <c r="L667" i="17" s="1"/>
  <c r="M667" i="17" s="1"/>
  <c r="K667" i="17" a="1"/>
  <c r="K667" i="17" s="1"/>
  <c r="J667" i="17" a="1"/>
  <c r="J667" i="17" s="1"/>
  <c r="O667" i="17" s="1"/>
  <c r="I667" i="17"/>
  <c r="N667" i="17" s="1"/>
  <c r="L666" i="17" a="1"/>
  <c r="L666" i="17" s="1"/>
  <c r="M666" i="17" s="1"/>
  <c r="K666" i="17" a="1"/>
  <c r="K666" i="17" s="1"/>
  <c r="J666" i="17" a="1"/>
  <c r="J666" i="17" s="1"/>
  <c r="O666" i="17" s="1"/>
  <c r="I666" i="17"/>
  <c r="N666" i="17" s="1"/>
  <c r="L665" i="17" a="1"/>
  <c r="L665" i="17" s="1"/>
  <c r="M665" i="17" s="1"/>
  <c r="K665" i="17" a="1"/>
  <c r="K665" i="17" s="1"/>
  <c r="J665" i="17" a="1"/>
  <c r="J665" i="17" s="1"/>
  <c r="O665" i="17" s="1"/>
  <c r="I665" i="17"/>
  <c r="N665" i="17" s="1"/>
  <c r="L664" i="17" a="1"/>
  <c r="L664" i="17" s="1"/>
  <c r="M664" i="17" s="1"/>
  <c r="K664" i="17" a="1"/>
  <c r="K664" i="17" s="1"/>
  <c r="J664" i="17" a="1"/>
  <c r="J664" i="17" s="1"/>
  <c r="O664" i="17" s="1"/>
  <c r="I664" i="17"/>
  <c r="N664" i="17" s="1"/>
  <c r="L663" i="17" a="1"/>
  <c r="L663" i="17" s="1"/>
  <c r="M663" i="17" s="1"/>
  <c r="K663" i="17" a="1"/>
  <c r="K663" i="17" s="1"/>
  <c r="J663" i="17" a="1"/>
  <c r="J663" i="17" s="1"/>
  <c r="O663" i="17" s="1"/>
  <c r="I663" i="17"/>
  <c r="N663" i="17" s="1"/>
  <c r="L662" i="17" a="1"/>
  <c r="L662" i="17" s="1"/>
  <c r="M662" i="17" s="1"/>
  <c r="K662" i="17" a="1"/>
  <c r="K662" i="17" s="1"/>
  <c r="J662" i="17" a="1"/>
  <c r="J662" i="17" s="1"/>
  <c r="O662" i="17" s="1"/>
  <c r="I662" i="17"/>
  <c r="N662" i="17" s="1"/>
  <c r="L661" i="17" a="1"/>
  <c r="L661" i="17" s="1"/>
  <c r="M661" i="17" s="1"/>
  <c r="K661" i="17" a="1"/>
  <c r="K661" i="17" s="1"/>
  <c r="J661" i="17" a="1"/>
  <c r="J661" i="17" s="1"/>
  <c r="O661" i="17" s="1"/>
  <c r="I661" i="17"/>
  <c r="N661" i="17" s="1"/>
  <c r="L660" i="17" a="1"/>
  <c r="L660" i="17" s="1"/>
  <c r="M660" i="17" s="1"/>
  <c r="K660" i="17" a="1"/>
  <c r="K660" i="17" s="1"/>
  <c r="J660" i="17" a="1"/>
  <c r="J660" i="17" s="1"/>
  <c r="O660" i="17" s="1"/>
  <c r="I660" i="17"/>
  <c r="N660" i="17" s="1"/>
  <c r="L659" i="17" a="1"/>
  <c r="L659" i="17" s="1"/>
  <c r="M659" i="17" s="1"/>
  <c r="K659" i="17" a="1"/>
  <c r="K659" i="17" s="1"/>
  <c r="J659" i="17" a="1"/>
  <c r="J659" i="17" s="1"/>
  <c r="O659" i="17" s="1"/>
  <c r="I659" i="17"/>
  <c r="N659" i="17" s="1"/>
  <c r="L658" i="17" a="1"/>
  <c r="L658" i="17" s="1"/>
  <c r="M658" i="17" s="1"/>
  <c r="K658" i="17" a="1"/>
  <c r="K658" i="17" s="1"/>
  <c r="J658" i="17" a="1"/>
  <c r="J658" i="17" s="1"/>
  <c r="O658" i="17" s="1"/>
  <c r="I658" i="17"/>
  <c r="N658" i="17" s="1"/>
  <c r="L657" i="17" a="1"/>
  <c r="L657" i="17" s="1"/>
  <c r="M657" i="17" s="1"/>
  <c r="K657" i="17" a="1"/>
  <c r="K657" i="17" s="1"/>
  <c r="J657" i="17" a="1"/>
  <c r="J657" i="17" s="1"/>
  <c r="O657" i="17" s="1"/>
  <c r="I657" i="17"/>
  <c r="N657" i="17" s="1"/>
  <c r="L656" i="17" a="1"/>
  <c r="L656" i="17" s="1"/>
  <c r="M656" i="17" s="1"/>
  <c r="K656" i="17" a="1"/>
  <c r="K656" i="17" s="1"/>
  <c r="J656" i="17" a="1"/>
  <c r="J656" i="17" s="1"/>
  <c r="O656" i="17" s="1"/>
  <c r="I656" i="17"/>
  <c r="N656" i="17" s="1"/>
  <c r="L655" i="17" a="1"/>
  <c r="L655" i="17" s="1"/>
  <c r="M655" i="17" s="1"/>
  <c r="K655" i="17" a="1"/>
  <c r="K655" i="17" s="1"/>
  <c r="J655" i="17" a="1"/>
  <c r="J655" i="17" s="1"/>
  <c r="O655" i="17" s="1"/>
  <c r="I655" i="17"/>
  <c r="N655" i="17" s="1"/>
  <c r="L654" i="17" a="1"/>
  <c r="L654" i="17" s="1"/>
  <c r="M654" i="17" s="1"/>
  <c r="K654" i="17" a="1"/>
  <c r="K654" i="17" s="1"/>
  <c r="J654" i="17" a="1"/>
  <c r="J654" i="17" s="1"/>
  <c r="O654" i="17" s="1"/>
  <c r="I654" i="17"/>
  <c r="N654" i="17" s="1"/>
  <c r="L653" i="17" a="1"/>
  <c r="L653" i="17" s="1"/>
  <c r="M653" i="17" s="1"/>
  <c r="K653" i="17" a="1"/>
  <c r="K653" i="17" s="1"/>
  <c r="J653" i="17" a="1"/>
  <c r="J653" i="17" s="1"/>
  <c r="O653" i="17" s="1"/>
  <c r="I653" i="17"/>
  <c r="N653" i="17" s="1"/>
  <c r="L652" i="17" a="1"/>
  <c r="L652" i="17" s="1"/>
  <c r="M652" i="17" s="1"/>
  <c r="K652" i="17" a="1"/>
  <c r="K652" i="17" s="1"/>
  <c r="J652" i="17" a="1"/>
  <c r="J652" i="17" s="1"/>
  <c r="O652" i="17" s="1"/>
  <c r="I652" i="17"/>
  <c r="N652" i="17" s="1"/>
  <c r="L651" i="17" a="1"/>
  <c r="L651" i="17" s="1"/>
  <c r="M651" i="17" s="1"/>
  <c r="K651" i="17" a="1"/>
  <c r="K651" i="17" s="1"/>
  <c r="J651" i="17" a="1"/>
  <c r="J651" i="17" s="1"/>
  <c r="O651" i="17" s="1"/>
  <c r="I651" i="17"/>
  <c r="N651" i="17" s="1"/>
  <c r="L650" i="17" a="1"/>
  <c r="L650" i="17" s="1"/>
  <c r="M650" i="17" s="1"/>
  <c r="K650" i="17" a="1"/>
  <c r="K650" i="17" s="1"/>
  <c r="J650" i="17" a="1"/>
  <c r="J650" i="17" s="1"/>
  <c r="O650" i="17" s="1"/>
  <c r="I650" i="17"/>
  <c r="N650" i="17" s="1"/>
  <c r="L649" i="17" a="1"/>
  <c r="L649" i="17" s="1"/>
  <c r="M649" i="17" s="1"/>
  <c r="K649" i="17" a="1"/>
  <c r="K649" i="17" s="1"/>
  <c r="J649" i="17" a="1"/>
  <c r="J649" i="17" s="1"/>
  <c r="O649" i="17" s="1"/>
  <c r="I649" i="17"/>
  <c r="N649" i="17" s="1"/>
  <c r="L648" i="17" a="1"/>
  <c r="L648" i="17" s="1"/>
  <c r="M648" i="17" s="1"/>
  <c r="K648" i="17" a="1"/>
  <c r="K648" i="17" s="1"/>
  <c r="J648" i="17" a="1"/>
  <c r="J648" i="17" s="1"/>
  <c r="O648" i="17" s="1"/>
  <c r="I648" i="17"/>
  <c r="N648" i="17" s="1"/>
  <c r="L647" i="17" a="1"/>
  <c r="L647" i="17" s="1"/>
  <c r="M647" i="17" s="1"/>
  <c r="K647" i="17" a="1"/>
  <c r="K647" i="17" s="1"/>
  <c r="J647" i="17" a="1"/>
  <c r="J647" i="17" s="1"/>
  <c r="O647" i="17" s="1"/>
  <c r="I647" i="17"/>
  <c r="N647" i="17" s="1"/>
  <c r="L646" i="17" a="1"/>
  <c r="L646" i="17" s="1"/>
  <c r="M646" i="17" s="1"/>
  <c r="K646" i="17" a="1"/>
  <c r="K646" i="17" s="1"/>
  <c r="J646" i="17" a="1"/>
  <c r="J646" i="17" s="1"/>
  <c r="O646" i="17" s="1"/>
  <c r="I646" i="17"/>
  <c r="N646" i="17" s="1"/>
  <c r="L645" i="17"/>
  <c r="M645" i="17" s="1"/>
  <c r="L645" i="17" a="1"/>
  <c r="K645" i="17" a="1"/>
  <c r="K645" i="17" s="1"/>
  <c r="J645" i="17" a="1"/>
  <c r="J645" i="17" s="1"/>
  <c r="O645" i="17" s="1"/>
  <c r="I645" i="17"/>
  <c r="N645" i="17" s="1"/>
  <c r="L644" i="17" a="1"/>
  <c r="L644" i="17" s="1"/>
  <c r="M644" i="17" s="1"/>
  <c r="K644" i="17" a="1"/>
  <c r="K644" i="17" s="1"/>
  <c r="J644" i="17" a="1"/>
  <c r="J644" i="17" s="1"/>
  <c r="O644" i="17" s="1"/>
  <c r="I644" i="17"/>
  <c r="N644" i="17" s="1"/>
  <c r="L643" i="17" a="1"/>
  <c r="L643" i="17" s="1"/>
  <c r="M643" i="17" s="1"/>
  <c r="K643" i="17" a="1"/>
  <c r="K643" i="17" s="1"/>
  <c r="J643" i="17" a="1"/>
  <c r="J643" i="17" s="1"/>
  <c r="O643" i="17" s="1"/>
  <c r="I643" i="17"/>
  <c r="N643" i="17" s="1"/>
  <c r="L642" i="17" a="1"/>
  <c r="L642" i="17" s="1"/>
  <c r="M642" i="17" s="1"/>
  <c r="K642" i="17" a="1"/>
  <c r="K642" i="17" s="1"/>
  <c r="J642" i="17" a="1"/>
  <c r="J642" i="17" s="1"/>
  <c r="O642" i="17" s="1"/>
  <c r="I642" i="17"/>
  <c r="N642" i="17" s="1"/>
  <c r="L641" i="17" a="1"/>
  <c r="L641" i="17" s="1"/>
  <c r="M641" i="17" s="1"/>
  <c r="K641" i="17" a="1"/>
  <c r="K641" i="17" s="1"/>
  <c r="J641" i="17" a="1"/>
  <c r="J641" i="17" s="1"/>
  <c r="O641" i="17" s="1"/>
  <c r="I641" i="17"/>
  <c r="N641" i="17" s="1"/>
  <c r="L640" i="17" a="1"/>
  <c r="L640" i="17" s="1"/>
  <c r="M640" i="17" s="1"/>
  <c r="K640" i="17" a="1"/>
  <c r="K640" i="17" s="1"/>
  <c r="J640" i="17" a="1"/>
  <c r="J640" i="17" s="1"/>
  <c r="O640" i="17" s="1"/>
  <c r="I640" i="17"/>
  <c r="N640" i="17" s="1"/>
  <c r="L639" i="17" a="1"/>
  <c r="L639" i="17" s="1"/>
  <c r="M639" i="17" s="1"/>
  <c r="K639" i="17" a="1"/>
  <c r="K639" i="17" s="1"/>
  <c r="J639" i="17" a="1"/>
  <c r="J639" i="17" s="1"/>
  <c r="O639" i="17" s="1"/>
  <c r="I639" i="17"/>
  <c r="N639" i="17" s="1"/>
  <c r="L638" i="17" a="1"/>
  <c r="L638" i="17" s="1"/>
  <c r="M638" i="17" s="1"/>
  <c r="K638" i="17" a="1"/>
  <c r="K638" i="17" s="1"/>
  <c r="J638" i="17" a="1"/>
  <c r="J638" i="17" s="1"/>
  <c r="O638" i="17" s="1"/>
  <c r="I638" i="17"/>
  <c r="N638" i="17" s="1"/>
  <c r="L637" i="17" a="1"/>
  <c r="L637" i="17" s="1"/>
  <c r="M637" i="17" s="1"/>
  <c r="K637" i="17" a="1"/>
  <c r="K637" i="17" s="1"/>
  <c r="J637" i="17" a="1"/>
  <c r="J637" i="17" s="1"/>
  <c r="O637" i="17" s="1"/>
  <c r="I637" i="17"/>
  <c r="N637" i="17" s="1"/>
  <c r="L636" i="17" a="1"/>
  <c r="L636" i="17" s="1"/>
  <c r="M636" i="17" s="1"/>
  <c r="K636" i="17" a="1"/>
  <c r="K636" i="17" s="1"/>
  <c r="J636" i="17" a="1"/>
  <c r="J636" i="17" s="1"/>
  <c r="O636" i="17" s="1"/>
  <c r="I636" i="17"/>
  <c r="N636" i="17" s="1"/>
  <c r="L635" i="17" a="1"/>
  <c r="L635" i="17" s="1"/>
  <c r="M635" i="17" s="1"/>
  <c r="K635" i="17" a="1"/>
  <c r="K635" i="17" s="1"/>
  <c r="J635" i="17" a="1"/>
  <c r="J635" i="17" s="1"/>
  <c r="O635" i="17" s="1"/>
  <c r="I635" i="17"/>
  <c r="N635" i="17" s="1"/>
  <c r="L634" i="17" a="1"/>
  <c r="L634" i="17" s="1"/>
  <c r="M634" i="17" s="1"/>
  <c r="K634" i="17" a="1"/>
  <c r="K634" i="17" s="1"/>
  <c r="J634" i="17" a="1"/>
  <c r="J634" i="17" s="1"/>
  <c r="O634" i="17" s="1"/>
  <c r="I634" i="17"/>
  <c r="N634" i="17" s="1"/>
  <c r="L633" i="17" a="1"/>
  <c r="L633" i="17" s="1"/>
  <c r="M633" i="17" s="1"/>
  <c r="K633" i="17" a="1"/>
  <c r="K633" i="17" s="1"/>
  <c r="J633" i="17" a="1"/>
  <c r="J633" i="17" s="1"/>
  <c r="O633" i="17" s="1"/>
  <c r="I633" i="17"/>
  <c r="N633" i="17" s="1"/>
  <c r="L632" i="17" a="1"/>
  <c r="L632" i="17" s="1"/>
  <c r="M632" i="17" s="1"/>
  <c r="K632" i="17" a="1"/>
  <c r="K632" i="17" s="1"/>
  <c r="J632" i="17" a="1"/>
  <c r="J632" i="17" s="1"/>
  <c r="O632" i="17" s="1"/>
  <c r="I632" i="17"/>
  <c r="N632" i="17" s="1"/>
  <c r="L631" i="17" a="1"/>
  <c r="L631" i="17" s="1"/>
  <c r="M631" i="17" s="1"/>
  <c r="K631" i="17" a="1"/>
  <c r="K631" i="17" s="1"/>
  <c r="J631" i="17" a="1"/>
  <c r="J631" i="17" s="1"/>
  <c r="O631" i="17" s="1"/>
  <c r="I631" i="17"/>
  <c r="N631" i="17" s="1"/>
  <c r="L630" i="17" a="1"/>
  <c r="L630" i="17" s="1"/>
  <c r="M630" i="17" s="1"/>
  <c r="K630" i="17" a="1"/>
  <c r="K630" i="17" s="1"/>
  <c r="J630" i="17" a="1"/>
  <c r="J630" i="17" s="1"/>
  <c r="O630" i="17" s="1"/>
  <c r="I630" i="17"/>
  <c r="N630" i="17" s="1"/>
  <c r="L629" i="17" a="1"/>
  <c r="L629" i="17" s="1"/>
  <c r="M629" i="17" s="1"/>
  <c r="K629" i="17" a="1"/>
  <c r="K629" i="17" s="1"/>
  <c r="J629" i="17" a="1"/>
  <c r="J629" i="17" s="1"/>
  <c r="O629" i="17" s="1"/>
  <c r="I629" i="17"/>
  <c r="N629" i="17" s="1"/>
  <c r="L628" i="17" a="1"/>
  <c r="L628" i="17" s="1"/>
  <c r="M628" i="17" s="1"/>
  <c r="K628" i="17" a="1"/>
  <c r="K628" i="17" s="1"/>
  <c r="J628" i="17" a="1"/>
  <c r="J628" i="17" s="1"/>
  <c r="O628" i="17" s="1"/>
  <c r="I628" i="17"/>
  <c r="N628" i="17" s="1"/>
  <c r="L627" i="17" a="1"/>
  <c r="L627" i="17" s="1"/>
  <c r="M627" i="17" s="1"/>
  <c r="K627" i="17" a="1"/>
  <c r="K627" i="17" s="1"/>
  <c r="J627" i="17" a="1"/>
  <c r="J627" i="17" s="1"/>
  <c r="O627" i="17" s="1"/>
  <c r="I627" i="17"/>
  <c r="N627" i="17" s="1"/>
  <c r="L626" i="17" a="1"/>
  <c r="L626" i="17" s="1"/>
  <c r="M626" i="17" s="1"/>
  <c r="K626" i="17" a="1"/>
  <c r="K626" i="17" s="1"/>
  <c r="J626" i="17" a="1"/>
  <c r="J626" i="17" s="1"/>
  <c r="O626" i="17" s="1"/>
  <c r="I626" i="17"/>
  <c r="N626" i="17" s="1"/>
  <c r="L625" i="17" a="1"/>
  <c r="L625" i="17" s="1"/>
  <c r="M625" i="17" s="1"/>
  <c r="K625" i="17" a="1"/>
  <c r="K625" i="17" s="1"/>
  <c r="J625" i="17" a="1"/>
  <c r="J625" i="17" s="1"/>
  <c r="O625" i="17" s="1"/>
  <c r="I625" i="17"/>
  <c r="N625" i="17" s="1"/>
  <c r="L624" i="17" a="1"/>
  <c r="L624" i="17" s="1"/>
  <c r="M624" i="17" s="1"/>
  <c r="K624" i="17" a="1"/>
  <c r="K624" i="17" s="1"/>
  <c r="J624" i="17" a="1"/>
  <c r="J624" i="17" s="1"/>
  <c r="O624" i="17" s="1"/>
  <c r="I624" i="17"/>
  <c r="N624" i="17" s="1"/>
  <c r="L623" i="17" a="1"/>
  <c r="L623" i="17" s="1"/>
  <c r="M623" i="17" s="1"/>
  <c r="K623" i="17" a="1"/>
  <c r="K623" i="17" s="1"/>
  <c r="J623" i="17" a="1"/>
  <c r="J623" i="17" s="1"/>
  <c r="O623" i="17" s="1"/>
  <c r="I623" i="17"/>
  <c r="N623" i="17" s="1"/>
  <c r="L622" i="17" a="1"/>
  <c r="L622" i="17" s="1"/>
  <c r="M622" i="17" s="1"/>
  <c r="K622" i="17" a="1"/>
  <c r="K622" i="17" s="1"/>
  <c r="J622" i="17" a="1"/>
  <c r="J622" i="17" s="1"/>
  <c r="O622" i="17" s="1"/>
  <c r="I622" i="17"/>
  <c r="N622" i="17" s="1"/>
  <c r="L621" i="17" a="1"/>
  <c r="L621" i="17" s="1"/>
  <c r="M621" i="17" s="1"/>
  <c r="K621" i="17" a="1"/>
  <c r="K621" i="17" s="1"/>
  <c r="J621" i="17" a="1"/>
  <c r="J621" i="17" s="1"/>
  <c r="O621" i="17" s="1"/>
  <c r="I621" i="17"/>
  <c r="N621" i="17" s="1"/>
  <c r="L620" i="17" a="1"/>
  <c r="L620" i="17" s="1"/>
  <c r="M620" i="17" s="1"/>
  <c r="K620" i="17" a="1"/>
  <c r="K620" i="17" s="1"/>
  <c r="J620" i="17" a="1"/>
  <c r="J620" i="17" s="1"/>
  <c r="O620" i="17" s="1"/>
  <c r="I620" i="17"/>
  <c r="N620" i="17" s="1"/>
  <c r="L619" i="17" a="1"/>
  <c r="L619" i="17" s="1"/>
  <c r="M619" i="17" s="1"/>
  <c r="K619" i="17" a="1"/>
  <c r="K619" i="17" s="1"/>
  <c r="J619" i="17" a="1"/>
  <c r="J619" i="17" s="1"/>
  <c r="O619" i="17" s="1"/>
  <c r="I619" i="17"/>
  <c r="N619" i="17" s="1"/>
  <c r="L618" i="17" a="1"/>
  <c r="L618" i="17" s="1"/>
  <c r="M618" i="17" s="1"/>
  <c r="K618" i="17" a="1"/>
  <c r="K618" i="17" s="1"/>
  <c r="J618" i="17" a="1"/>
  <c r="J618" i="17" s="1"/>
  <c r="O618" i="17" s="1"/>
  <c r="I618" i="17"/>
  <c r="N618" i="17" s="1"/>
  <c r="L617" i="17" a="1"/>
  <c r="L617" i="17" s="1"/>
  <c r="M617" i="17" s="1"/>
  <c r="K617" i="17" a="1"/>
  <c r="K617" i="17" s="1"/>
  <c r="J617" i="17" a="1"/>
  <c r="J617" i="17" s="1"/>
  <c r="O617" i="17" s="1"/>
  <c r="I617" i="17"/>
  <c r="N617" i="17" s="1"/>
  <c r="L616" i="17" a="1"/>
  <c r="L616" i="17" s="1"/>
  <c r="M616" i="17" s="1"/>
  <c r="K616" i="17" a="1"/>
  <c r="K616" i="17" s="1"/>
  <c r="J616" i="17" a="1"/>
  <c r="J616" i="17" s="1"/>
  <c r="O616" i="17" s="1"/>
  <c r="I616" i="17"/>
  <c r="N616" i="17" s="1"/>
  <c r="L615" i="17" a="1"/>
  <c r="L615" i="17" s="1"/>
  <c r="M615" i="17" s="1"/>
  <c r="K615" i="17" a="1"/>
  <c r="K615" i="17" s="1"/>
  <c r="J615" i="17" a="1"/>
  <c r="J615" i="17" s="1"/>
  <c r="O615" i="17" s="1"/>
  <c r="I615" i="17"/>
  <c r="N615" i="17" s="1"/>
  <c r="L614" i="17" a="1"/>
  <c r="L614" i="17" s="1"/>
  <c r="M614" i="17" s="1"/>
  <c r="K614" i="17" a="1"/>
  <c r="K614" i="17" s="1"/>
  <c r="J614" i="17" a="1"/>
  <c r="J614" i="17" s="1"/>
  <c r="O614" i="17" s="1"/>
  <c r="I614" i="17"/>
  <c r="N614" i="17" s="1"/>
  <c r="L613" i="17" a="1"/>
  <c r="L613" i="17" s="1"/>
  <c r="M613" i="17" s="1"/>
  <c r="K613" i="17" a="1"/>
  <c r="K613" i="17" s="1"/>
  <c r="J613" i="17" a="1"/>
  <c r="J613" i="17" s="1"/>
  <c r="O613" i="17" s="1"/>
  <c r="I613" i="17"/>
  <c r="N613" i="17" s="1"/>
  <c r="L612" i="17" a="1"/>
  <c r="L612" i="17" s="1"/>
  <c r="M612" i="17" s="1"/>
  <c r="K612" i="17" a="1"/>
  <c r="K612" i="17" s="1"/>
  <c r="J612" i="17" a="1"/>
  <c r="J612" i="17" s="1"/>
  <c r="O612" i="17" s="1"/>
  <c r="I612" i="17"/>
  <c r="N612" i="17" s="1"/>
  <c r="L611" i="17" a="1"/>
  <c r="L611" i="17" s="1"/>
  <c r="M611" i="17" s="1"/>
  <c r="K611" i="17" a="1"/>
  <c r="K611" i="17" s="1"/>
  <c r="J611" i="17" a="1"/>
  <c r="J611" i="17" s="1"/>
  <c r="O611" i="17" s="1"/>
  <c r="I611" i="17"/>
  <c r="N611" i="17" s="1"/>
  <c r="L610" i="17" a="1"/>
  <c r="L610" i="17" s="1"/>
  <c r="M610" i="17" s="1"/>
  <c r="K610" i="17" a="1"/>
  <c r="K610" i="17" s="1"/>
  <c r="J610" i="17"/>
  <c r="O610" i="17" s="1"/>
  <c r="J610" i="17" a="1"/>
  <c r="I610" i="17"/>
  <c r="N610" i="17" s="1"/>
  <c r="L609" i="17" a="1"/>
  <c r="L609" i="17" s="1"/>
  <c r="M609" i="17" s="1"/>
  <c r="K609" i="17" a="1"/>
  <c r="K609" i="17" s="1"/>
  <c r="J609" i="17" a="1"/>
  <c r="J609" i="17" s="1"/>
  <c r="O609" i="17" s="1"/>
  <c r="I609" i="17"/>
  <c r="N609" i="17" s="1"/>
  <c r="L608" i="17" a="1"/>
  <c r="L608" i="17" s="1"/>
  <c r="M608" i="17" s="1"/>
  <c r="K608" i="17" a="1"/>
  <c r="K608" i="17" s="1"/>
  <c r="J608" i="17" a="1"/>
  <c r="J608" i="17" s="1"/>
  <c r="O608" i="17" s="1"/>
  <c r="I608" i="17"/>
  <c r="N608" i="17" s="1"/>
  <c r="L607" i="17" a="1"/>
  <c r="L607" i="17" s="1"/>
  <c r="M607" i="17" s="1"/>
  <c r="K607" i="17" a="1"/>
  <c r="K607" i="17" s="1"/>
  <c r="J607" i="17" a="1"/>
  <c r="J607" i="17" s="1"/>
  <c r="O607" i="17" s="1"/>
  <c r="I607" i="17"/>
  <c r="N607" i="17" s="1"/>
  <c r="L606" i="17" a="1"/>
  <c r="L606" i="17" s="1"/>
  <c r="M606" i="17" s="1"/>
  <c r="K606" i="17" a="1"/>
  <c r="K606" i="17" s="1"/>
  <c r="J606" i="17" a="1"/>
  <c r="J606" i="17" s="1"/>
  <c r="O606" i="17" s="1"/>
  <c r="I606" i="17"/>
  <c r="N606" i="17" s="1"/>
  <c r="L605" i="17" a="1"/>
  <c r="L605" i="17" s="1"/>
  <c r="M605" i="17" s="1"/>
  <c r="K605" i="17" a="1"/>
  <c r="K605" i="17" s="1"/>
  <c r="J605" i="17" a="1"/>
  <c r="J605" i="17" s="1"/>
  <c r="O605" i="17" s="1"/>
  <c r="I605" i="17"/>
  <c r="N605" i="17" s="1"/>
  <c r="L604" i="17" a="1"/>
  <c r="L604" i="17" s="1"/>
  <c r="M604" i="17" s="1"/>
  <c r="K604" i="17" a="1"/>
  <c r="K604" i="17" s="1"/>
  <c r="J604" i="17"/>
  <c r="O604" i="17" s="1"/>
  <c r="J604" i="17" a="1"/>
  <c r="I604" i="17"/>
  <c r="N604" i="17" s="1"/>
  <c r="L603" i="17" a="1"/>
  <c r="L603" i="17" s="1"/>
  <c r="M603" i="17" s="1"/>
  <c r="K603" i="17" a="1"/>
  <c r="K603" i="17" s="1"/>
  <c r="J603" i="17" a="1"/>
  <c r="J603" i="17" s="1"/>
  <c r="O603" i="17" s="1"/>
  <c r="I603" i="17"/>
  <c r="N603" i="17" s="1"/>
  <c r="L602" i="17" a="1"/>
  <c r="L602" i="17" s="1"/>
  <c r="M602" i="17" s="1"/>
  <c r="K602" i="17" a="1"/>
  <c r="K602" i="17" s="1"/>
  <c r="J602" i="17" a="1"/>
  <c r="J602" i="17" s="1"/>
  <c r="O602" i="17" s="1"/>
  <c r="I602" i="17"/>
  <c r="N602" i="17" s="1"/>
  <c r="L601" i="17" a="1"/>
  <c r="L601" i="17" s="1"/>
  <c r="M601" i="17" s="1"/>
  <c r="K601" i="17" a="1"/>
  <c r="K601" i="17" s="1"/>
  <c r="J601" i="17" a="1"/>
  <c r="J601" i="17" s="1"/>
  <c r="O601" i="17" s="1"/>
  <c r="I601" i="17"/>
  <c r="N601" i="17" s="1"/>
  <c r="L600" i="17" a="1"/>
  <c r="L600" i="17" s="1"/>
  <c r="M600" i="17" s="1"/>
  <c r="K600" i="17" a="1"/>
  <c r="K600" i="17" s="1"/>
  <c r="J600" i="17" a="1"/>
  <c r="J600" i="17" s="1"/>
  <c r="O600" i="17" s="1"/>
  <c r="I600" i="17"/>
  <c r="N600" i="17" s="1"/>
  <c r="L599" i="17" a="1"/>
  <c r="L599" i="17" s="1"/>
  <c r="M599" i="17" s="1"/>
  <c r="K599" i="17" a="1"/>
  <c r="K599" i="17" s="1"/>
  <c r="J599" i="17" a="1"/>
  <c r="J599" i="17" s="1"/>
  <c r="O599" i="17" s="1"/>
  <c r="I599" i="17"/>
  <c r="N599" i="17" s="1"/>
  <c r="L598" i="17" a="1"/>
  <c r="L598" i="17" s="1"/>
  <c r="M598" i="17" s="1"/>
  <c r="K598" i="17" a="1"/>
  <c r="K598" i="17" s="1"/>
  <c r="J598" i="17" a="1"/>
  <c r="J598" i="17" s="1"/>
  <c r="O598" i="17" s="1"/>
  <c r="I598" i="17"/>
  <c r="N598" i="17" s="1"/>
  <c r="L597" i="17" a="1"/>
  <c r="L597" i="17" s="1"/>
  <c r="M597" i="17" s="1"/>
  <c r="K597" i="17" a="1"/>
  <c r="K597" i="17" s="1"/>
  <c r="J597" i="17" a="1"/>
  <c r="J597" i="17" s="1"/>
  <c r="O597" i="17" s="1"/>
  <c r="I597" i="17"/>
  <c r="N597" i="17" s="1"/>
  <c r="L596" i="17" a="1"/>
  <c r="L596" i="17" s="1"/>
  <c r="M596" i="17" s="1"/>
  <c r="K596" i="17" a="1"/>
  <c r="K596" i="17" s="1"/>
  <c r="J596" i="17" a="1"/>
  <c r="J596" i="17" s="1"/>
  <c r="O596" i="17" s="1"/>
  <c r="I596" i="17"/>
  <c r="N596" i="17" s="1"/>
  <c r="L595" i="17" a="1"/>
  <c r="L595" i="17" s="1"/>
  <c r="M595" i="17" s="1"/>
  <c r="K595" i="17" a="1"/>
  <c r="K595" i="17" s="1"/>
  <c r="J595" i="17" a="1"/>
  <c r="J595" i="17" s="1"/>
  <c r="O595" i="17" s="1"/>
  <c r="I595" i="17"/>
  <c r="N595" i="17" s="1"/>
  <c r="L594" i="17" a="1"/>
  <c r="L594" i="17" s="1"/>
  <c r="M594" i="17" s="1"/>
  <c r="K594" i="17" a="1"/>
  <c r="K594" i="17" s="1"/>
  <c r="J594" i="17" a="1"/>
  <c r="J594" i="17" s="1"/>
  <c r="O594" i="17" s="1"/>
  <c r="I594" i="17"/>
  <c r="N594" i="17" s="1"/>
  <c r="L593" i="17" a="1"/>
  <c r="L593" i="17" s="1"/>
  <c r="M593" i="17" s="1"/>
  <c r="K593" i="17" a="1"/>
  <c r="K593" i="17" s="1"/>
  <c r="J593" i="17" a="1"/>
  <c r="J593" i="17" s="1"/>
  <c r="O593" i="17" s="1"/>
  <c r="I593" i="17"/>
  <c r="N593" i="17" s="1"/>
  <c r="L592" i="17" a="1"/>
  <c r="L592" i="17" s="1"/>
  <c r="M592" i="17" s="1"/>
  <c r="K592" i="17" a="1"/>
  <c r="K592" i="17" s="1"/>
  <c r="J592" i="17" a="1"/>
  <c r="J592" i="17" s="1"/>
  <c r="O592" i="17" s="1"/>
  <c r="I592" i="17"/>
  <c r="N592" i="17" s="1"/>
  <c r="L591" i="17" a="1"/>
  <c r="L591" i="17" s="1"/>
  <c r="M591" i="17" s="1"/>
  <c r="K591" i="17" a="1"/>
  <c r="K591" i="17" s="1"/>
  <c r="J591" i="17" a="1"/>
  <c r="J591" i="17" s="1"/>
  <c r="O591" i="17" s="1"/>
  <c r="I591" i="17"/>
  <c r="N591" i="17" s="1"/>
  <c r="L590" i="17" a="1"/>
  <c r="L590" i="17" s="1"/>
  <c r="M590" i="17" s="1"/>
  <c r="K590" i="17" a="1"/>
  <c r="K590" i="17" s="1"/>
  <c r="J590" i="17" a="1"/>
  <c r="J590" i="17" s="1"/>
  <c r="O590" i="17" s="1"/>
  <c r="I590" i="17"/>
  <c r="N590" i="17" s="1"/>
  <c r="L589" i="17" a="1"/>
  <c r="L589" i="17" s="1"/>
  <c r="M589" i="17" s="1"/>
  <c r="K589" i="17" a="1"/>
  <c r="K589" i="17" s="1"/>
  <c r="J589" i="17" a="1"/>
  <c r="J589" i="17" s="1"/>
  <c r="O589" i="17" s="1"/>
  <c r="I589" i="17"/>
  <c r="N589" i="17" s="1"/>
  <c r="L588" i="17" a="1"/>
  <c r="L588" i="17" s="1"/>
  <c r="M588" i="17" s="1"/>
  <c r="K588" i="17" a="1"/>
  <c r="K588" i="17" s="1"/>
  <c r="J588" i="17" a="1"/>
  <c r="J588" i="17" s="1"/>
  <c r="O588" i="17" s="1"/>
  <c r="I588" i="17"/>
  <c r="N588" i="17" s="1"/>
  <c r="L587" i="17" a="1"/>
  <c r="L587" i="17" s="1"/>
  <c r="M587" i="17" s="1"/>
  <c r="K587" i="17" a="1"/>
  <c r="K587" i="17" s="1"/>
  <c r="J587" i="17" a="1"/>
  <c r="J587" i="17" s="1"/>
  <c r="O587" i="17" s="1"/>
  <c r="I587" i="17"/>
  <c r="N587" i="17" s="1"/>
  <c r="L586" i="17" a="1"/>
  <c r="L586" i="17" s="1"/>
  <c r="M586" i="17" s="1"/>
  <c r="K586" i="17" a="1"/>
  <c r="K586" i="17" s="1"/>
  <c r="J586" i="17" a="1"/>
  <c r="J586" i="17" s="1"/>
  <c r="O586" i="17" s="1"/>
  <c r="I586" i="17"/>
  <c r="N586" i="17" s="1"/>
  <c r="L585" i="17" a="1"/>
  <c r="L585" i="17" s="1"/>
  <c r="M585" i="17" s="1"/>
  <c r="K585" i="17" a="1"/>
  <c r="K585" i="17" s="1"/>
  <c r="J585" i="17" a="1"/>
  <c r="J585" i="17" s="1"/>
  <c r="O585" i="17" s="1"/>
  <c r="I585" i="17"/>
  <c r="N585" i="17" s="1"/>
  <c r="L584" i="17" a="1"/>
  <c r="L584" i="17" s="1"/>
  <c r="M584" i="17" s="1"/>
  <c r="K584" i="17" a="1"/>
  <c r="K584" i="17" s="1"/>
  <c r="J584" i="17" a="1"/>
  <c r="J584" i="17" s="1"/>
  <c r="O584" i="17" s="1"/>
  <c r="I584" i="17"/>
  <c r="N584" i="17" s="1"/>
  <c r="L583" i="17" a="1"/>
  <c r="L583" i="17" s="1"/>
  <c r="M583" i="17" s="1"/>
  <c r="K583" i="17" a="1"/>
  <c r="K583" i="17" s="1"/>
  <c r="J583" i="17" a="1"/>
  <c r="J583" i="17" s="1"/>
  <c r="O583" i="17" s="1"/>
  <c r="I583" i="17"/>
  <c r="N583" i="17" s="1"/>
  <c r="L582" i="17" a="1"/>
  <c r="L582" i="17" s="1"/>
  <c r="M582" i="17" s="1"/>
  <c r="K582" i="17" a="1"/>
  <c r="K582" i="17" s="1"/>
  <c r="J582" i="17" a="1"/>
  <c r="J582" i="17" s="1"/>
  <c r="O582" i="17" s="1"/>
  <c r="I582" i="17"/>
  <c r="N582" i="17" s="1"/>
  <c r="L581" i="17" a="1"/>
  <c r="L581" i="17" s="1"/>
  <c r="M581" i="17" s="1"/>
  <c r="K581" i="17" a="1"/>
  <c r="K581" i="17" s="1"/>
  <c r="J581" i="17" a="1"/>
  <c r="J581" i="17" s="1"/>
  <c r="O581" i="17" s="1"/>
  <c r="I581" i="17"/>
  <c r="N581" i="17" s="1"/>
  <c r="L580" i="17" a="1"/>
  <c r="L580" i="17" s="1"/>
  <c r="M580" i="17" s="1"/>
  <c r="K580" i="17" a="1"/>
  <c r="K580" i="17" s="1"/>
  <c r="J580" i="17" a="1"/>
  <c r="J580" i="17" s="1"/>
  <c r="O580" i="17" s="1"/>
  <c r="I580" i="17"/>
  <c r="N580" i="17" s="1"/>
  <c r="L579" i="17" a="1"/>
  <c r="L579" i="17" s="1"/>
  <c r="M579" i="17" s="1"/>
  <c r="K579" i="17" a="1"/>
  <c r="K579" i="17" s="1"/>
  <c r="J579" i="17" a="1"/>
  <c r="J579" i="17" s="1"/>
  <c r="O579" i="17" s="1"/>
  <c r="I579" i="17"/>
  <c r="N579" i="17" s="1"/>
  <c r="L578" i="17" a="1"/>
  <c r="L578" i="17" s="1"/>
  <c r="M578" i="17" s="1"/>
  <c r="K578" i="17" a="1"/>
  <c r="K578" i="17" s="1"/>
  <c r="J578" i="17" a="1"/>
  <c r="J578" i="17" s="1"/>
  <c r="O578" i="17" s="1"/>
  <c r="I578" i="17"/>
  <c r="N578" i="17" s="1"/>
  <c r="L577" i="17" a="1"/>
  <c r="L577" i="17" s="1"/>
  <c r="M577" i="17" s="1"/>
  <c r="K577" i="17" a="1"/>
  <c r="K577" i="17" s="1"/>
  <c r="J577" i="17" a="1"/>
  <c r="J577" i="17" s="1"/>
  <c r="O577" i="17" s="1"/>
  <c r="I577" i="17"/>
  <c r="N577" i="17" s="1"/>
  <c r="L576" i="17" a="1"/>
  <c r="L576" i="17" s="1"/>
  <c r="M576" i="17" s="1"/>
  <c r="K576" i="17" a="1"/>
  <c r="K576" i="17" s="1"/>
  <c r="J576" i="17" a="1"/>
  <c r="J576" i="17" s="1"/>
  <c r="O576" i="17" s="1"/>
  <c r="I576" i="17"/>
  <c r="N576" i="17" s="1"/>
  <c r="L575" i="17" a="1"/>
  <c r="L575" i="17" s="1"/>
  <c r="M575" i="17" s="1"/>
  <c r="K575" i="17" a="1"/>
  <c r="K575" i="17" s="1"/>
  <c r="J575" i="17" a="1"/>
  <c r="J575" i="17" s="1"/>
  <c r="O575" i="17" s="1"/>
  <c r="I575" i="17"/>
  <c r="N575" i="17" s="1"/>
  <c r="L574" i="17" a="1"/>
  <c r="L574" i="17" s="1"/>
  <c r="M574" i="17" s="1"/>
  <c r="K574" i="17" a="1"/>
  <c r="K574" i="17" s="1"/>
  <c r="J574" i="17" a="1"/>
  <c r="J574" i="17" s="1"/>
  <c r="O574" i="17" s="1"/>
  <c r="I574" i="17"/>
  <c r="N574" i="17" s="1"/>
  <c r="L573" i="17" a="1"/>
  <c r="L573" i="17" s="1"/>
  <c r="M573" i="17" s="1"/>
  <c r="K573" i="17" a="1"/>
  <c r="K573" i="17" s="1"/>
  <c r="J573" i="17" a="1"/>
  <c r="J573" i="17" s="1"/>
  <c r="O573" i="17" s="1"/>
  <c r="I573" i="17"/>
  <c r="N573" i="17" s="1"/>
  <c r="L572" i="17" a="1"/>
  <c r="L572" i="17" s="1"/>
  <c r="M572" i="17" s="1"/>
  <c r="K572" i="17" a="1"/>
  <c r="K572" i="17" s="1"/>
  <c r="J572" i="17" a="1"/>
  <c r="J572" i="17" s="1"/>
  <c r="O572" i="17" s="1"/>
  <c r="I572" i="17"/>
  <c r="N572" i="17" s="1"/>
  <c r="L571" i="17" a="1"/>
  <c r="L571" i="17" s="1"/>
  <c r="M571" i="17" s="1"/>
  <c r="K571" i="17" a="1"/>
  <c r="K571" i="17" s="1"/>
  <c r="J571" i="17" a="1"/>
  <c r="J571" i="17" s="1"/>
  <c r="O571" i="17" s="1"/>
  <c r="I571" i="17"/>
  <c r="N571" i="17" s="1"/>
  <c r="L570" i="17" a="1"/>
  <c r="L570" i="17" s="1"/>
  <c r="M570" i="17" s="1"/>
  <c r="K570" i="17" a="1"/>
  <c r="K570" i="17" s="1"/>
  <c r="J570" i="17" a="1"/>
  <c r="J570" i="17" s="1"/>
  <c r="O570" i="17" s="1"/>
  <c r="I570" i="17"/>
  <c r="N570" i="17" s="1"/>
  <c r="L569" i="17" a="1"/>
  <c r="L569" i="17" s="1"/>
  <c r="M569" i="17" s="1"/>
  <c r="K569" i="17" a="1"/>
  <c r="K569" i="17" s="1"/>
  <c r="J569" i="17"/>
  <c r="O569" i="17" s="1"/>
  <c r="J569" i="17" a="1"/>
  <c r="I569" i="17"/>
  <c r="N569" i="17" s="1"/>
  <c r="L568" i="17" a="1"/>
  <c r="L568" i="17" s="1"/>
  <c r="M568" i="17" s="1"/>
  <c r="K568" i="17" a="1"/>
  <c r="K568" i="17" s="1"/>
  <c r="J568" i="17" a="1"/>
  <c r="J568" i="17" s="1"/>
  <c r="O568" i="17" s="1"/>
  <c r="I568" i="17"/>
  <c r="N568" i="17" s="1"/>
  <c r="L567" i="17" a="1"/>
  <c r="L567" i="17" s="1"/>
  <c r="M567" i="17" s="1"/>
  <c r="K567" i="17" a="1"/>
  <c r="K567" i="17" s="1"/>
  <c r="J567" i="17" a="1"/>
  <c r="J567" i="17" s="1"/>
  <c r="O567" i="17" s="1"/>
  <c r="I567" i="17"/>
  <c r="N567" i="17" s="1"/>
  <c r="L566" i="17" a="1"/>
  <c r="L566" i="17" s="1"/>
  <c r="M566" i="17" s="1"/>
  <c r="K566" i="17" a="1"/>
  <c r="K566" i="17" s="1"/>
  <c r="J566" i="17" a="1"/>
  <c r="J566" i="17" s="1"/>
  <c r="O566" i="17" s="1"/>
  <c r="I566" i="17"/>
  <c r="N566" i="17" s="1"/>
  <c r="L565" i="17" a="1"/>
  <c r="L565" i="17" s="1"/>
  <c r="M565" i="17" s="1"/>
  <c r="K565" i="17" a="1"/>
  <c r="K565" i="17" s="1"/>
  <c r="J565" i="17" a="1"/>
  <c r="J565" i="17" s="1"/>
  <c r="O565" i="17" s="1"/>
  <c r="I565" i="17"/>
  <c r="N565" i="17" s="1"/>
  <c r="L564" i="17" a="1"/>
  <c r="L564" i="17" s="1"/>
  <c r="M564" i="17" s="1"/>
  <c r="K564" i="17" a="1"/>
  <c r="K564" i="17" s="1"/>
  <c r="J564" i="17" a="1"/>
  <c r="J564" i="17" s="1"/>
  <c r="O564" i="17" s="1"/>
  <c r="I564" i="17"/>
  <c r="N564" i="17" s="1"/>
  <c r="L563" i="17" a="1"/>
  <c r="L563" i="17" s="1"/>
  <c r="M563" i="17" s="1"/>
  <c r="K563" i="17" a="1"/>
  <c r="K563" i="17" s="1"/>
  <c r="J563" i="17" a="1"/>
  <c r="J563" i="17" s="1"/>
  <c r="O563" i="17" s="1"/>
  <c r="I563" i="17"/>
  <c r="N563" i="17" s="1"/>
  <c r="L562" i="17" a="1"/>
  <c r="L562" i="17" s="1"/>
  <c r="M562" i="17" s="1"/>
  <c r="K562" i="17" a="1"/>
  <c r="K562" i="17" s="1"/>
  <c r="J562" i="17" a="1"/>
  <c r="J562" i="17" s="1"/>
  <c r="O562" i="17" s="1"/>
  <c r="I562" i="17"/>
  <c r="N562" i="17" s="1"/>
  <c r="L561" i="17" a="1"/>
  <c r="L561" i="17" s="1"/>
  <c r="M561" i="17" s="1"/>
  <c r="K561" i="17" a="1"/>
  <c r="K561" i="17" s="1"/>
  <c r="J561" i="17" a="1"/>
  <c r="J561" i="17" s="1"/>
  <c r="O561" i="17" s="1"/>
  <c r="I561" i="17"/>
  <c r="N561" i="17" s="1"/>
  <c r="L560" i="17" a="1"/>
  <c r="L560" i="17" s="1"/>
  <c r="M560" i="17" s="1"/>
  <c r="K560" i="17" a="1"/>
  <c r="K560" i="17" s="1"/>
  <c r="J560" i="17" a="1"/>
  <c r="J560" i="17" s="1"/>
  <c r="O560" i="17" s="1"/>
  <c r="I560" i="17"/>
  <c r="N560" i="17" s="1"/>
  <c r="L559" i="17" a="1"/>
  <c r="L559" i="17" s="1"/>
  <c r="M559" i="17" s="1"/>
  <c r="K559" i="17" a="1"/>
  <c r="K559" i="17" s="1"/>
  <c r="J559" i="17" a="1"/>
  <c r="J559" i="17" s="1"/>
  <c r="O559" i="17" s="1"/>
  <c r="I559" i="17"/>
  <c r="N559" i="17" s="1"/>
  <c r="L558" i="17" a="1"/>
  <c r="L558" i="17" s="1"/>
  <c r="M558" i="17" s="1"/>
  <c r="K558" i="17" a="1"/>
  <c r="K558" i="17" s="1"/>
  <c r="J558" i="17" a="1"/>
  <c r="J558" i="17" s="1"/>
  <c r="O558" i="17" s="1"/>
  <c r="I558" i="17"/>
  <c r="N558" i="17" s="1"/>
  <c r="L557" i="17" a="1"/>
  <c r="L557" i="17" s="1"/>
  <c r="M557" i="17" s="1"/>
  <c r="K557" i="17" a="1"/>
  <c r="K557" i="17" s="1"/>
  <c r="J557" i="17" a="1"/>
  <c r="J557" i="17" s="1"/>
  <c r="O557" i="17" s="1"/>
  <c r="I557" i="17"/>
  <c r="N557" i="17" s="1"/>
  <c r="L556" i="17" a="1"/>
  <c r="L556" i="17" s="1"/>
  <c r="M556" i="17" s="1"/>
  <c r="K556" i="17" a="1"/>
  <c r="K556" i="17" s="1"/>
  <c r="J556" i="17" a="1"/>
  <c r="J556" i="17" s="1"/>
  <c r="O556" i="17" s="1"/>
  <c r="I556" i="17"/>
  <c r="N556" i="17" s="1"/>
  <c r="L555" i="17" a="1"/>
  <c r="L555" i="17" s="1"/>
  <c r="M555" i="17" s="1"/>
  <c r="K555" i="17" a="1"/>
  <c r="K555" i="17" s="1"/>
  <c r="J555" i="17" a="1"/>
  <c r="J555" i="17" s="1"/>
  <c r="O555" i="17" s="1"/>
  <c r="I555" i="17"/>
  <c r="N555" i="17" s="1"/>
  <c r="L554" i="17" a="1"/>
  <c r="L554" i="17" s="1"/>
  <c r="M554" i="17" s="1"/>
  <c r="K554" i="17" a="1"/>
  <c r="K554" i="17" s="1"/>
  <c r="J554" i="17" a="1"/>
  <c r="J554" i="17" s="1"/>
  <c r="O554" i="17" s="1"/>
  <c r="I554" i="17"/>
  <c r="N554" i="17" s="1"/>
  <c r="L553" i="17" a="1"/>
  <c r="L553" i="17" s="1"/>
  <c r="M553" i="17" s="1"/>
  <c r="K553" i="17" a="1"/>
  <c r="K553" i="17" s="1"/>
  <c r="J553" i="17" a="1"/>
  <c r="J553" i="17" s="1"/>
  <c r="O553" i="17" s="1"/>
  <c r="I553" i="17"/>
  <c r="N553" i="17" s="1"/>
  <c r="L552" i="17" a="1"/>
  <c r="L552" i="17" s="1"/>
  <c r="M552" i="17" s="1"/>
  <c r="K552" i="17" a="1"/>
  <c r="K552" i="17" s="1"/>
  <c r="J552" i="17" a="1"/>
  <c r="J552" i="17" s="1"/>
  <c r="O552" i="17" s="1"/>
  <c r="I552" i="17"/>
  <c r="N552" i="17" s="1"/>
  <c r="L551" i="17" a="1"/>
  <c r="L551" i="17" s="1"/>
  <c r="M551" i="17" s="1"/>
  <c r="K551" i="17" a="1"/>
  <c r="K551" i="17" s="1"/>
  <c r="J551" i="17" a="1"/>
  <c r="J551" i="17" s="1"/>
  <c r="O551" i="17" s="1"/>
  <c r="I551" i="17"/>
  <c r="N551" i="17" s="1"/>
  <c r="L550" i="17" a="1"/>
  <c r="L550" i="17" s="1"/>
  <c r="M550" i="17" s="1"/>
  <c r="K550" i="17" a="1"/>
  <c r="K550" i="17" s="1"/>
  <c r="J550" i="17" a="1"/>
  <c r="J550" i="17" s="1"/>
  <c r="O550" i="17" s="1"/>
  <c r="I550" i="17"/>
  <c r="N550" i="17" s="1"/>
  <c r="L549" i="17" a="1"/>
  <c r="L549" i="17" s="1"/>
  <c r="M549" i="17" s="1"/>
  <c r="K549" i="17" a="1"/>
  <c r="K549" i="17" s="1"/>
  <c r="J549" i="17" a="1"/>
  <c r="J549" i="17" s="1"/>
  <c r="O549" i="17" s="1"/>
  <c r="I549" i="17"/>
  <c r="N549" i="17" s="1"/>
  <c r="L548" i="17" a="1"/>
  <c r="L548" i="17" s="1"/>
  <c r="M548" i="17" s="1"/>
  <c r="K548" i="17" a="1"/>
  <c r="K548" i="17" s="1"/>
  <c r="J548" i="17" a="1"/>
  <c r="J548" i="17" s="1"/>
  <c r="O548" i="17" s="1"/>
  <c r="I548" i="17"/>
  <c r="N548" i="17" s="1"/>
  <c r="L547" i="17" a="1"/>
  <c r="L547" i="17" s="1"/>
  <c r="M547" i="17" s="1"/>
  <c r="K547" i="17" a="1"/>
  <c r="K547" i="17" s="1"/>
  <c r="J547" i="17" a="1"/>
  <c r="J547" i="17" s="1"/>
  <c r="O547" i="17" s="1"/>
  <c r="I547" i="17"/>
  <c r="N547" i="17" s="1"/>
  <c r="L546" i="17" a="1"/>
  <c r="L546" i="17" s="1"/>
  <c r="M546" i="17" s="1"/>
  <c r="K546" i="17" a="1"/>
  <c r="K546" i="17" s="1"/>
  <c r="J546" i="17" a="1"/>
  <c r="J546" i="17" s="1"/>
  <c r="O546" i="17" s="1"/>
  <c r="I546" i="17"/>
  <c r="N546" i="17" s="1"/>
  <c r="L545" i="17" a="1"/>
  <c r="L545" i="17" s="1"/>
  <c r="M545" i="17" s="1"/>
  <c r="K545" i="17" a="1"/>
  <c r="K545" i="17" s="1"/>
  <c r="J545" i="17" a="1"/>
  <c r="J545" i="17" s="1"/>
  <c r="O545" i="17" s="1"/>
  <c r="I545" i="17"/>
  <c r="N545" i="17" s="1"/>
  <c r="L544" i="17" a="1"/>
  <c r="L544" i="17" s="1"/>
  <c r="M544" i="17" s="1"/>
  <c r="K544" i="17" a="1"/>
  <c r="K544" i="17" s="1"/>
  <c r="J544" i="17" a="1"/>
  <c r="J544" i="17" s="1"/>
  <c r="O544" i="17" s="1"/>
  <c r="I544" i="17"/>
  <c r="N544" i="17" s="1"/>
  <c r="L543" i="17" a="1"/>
  <c r="L543" i="17" s="1"/>
  <c r="M543" i="17" s="1"/>
  <c r="K543" i="17" a="1"/>
  <c r="K543" i="17" s="1"/>
  <c r="J543" i="17" a="1"/>
  <c r="J543" i="17" s="1"/>
  <c r="O543" i="17" s="1"/>
  <c r="I543" i="17"/>
  <c r="N543" i="17" s="1"/>
  <c r="L542" i="17" a="1"/>
  <c r="L542" i="17" s="1"/>
  <c r="M542" i="17" s="1"/>
  <c r="K542" i="17" a="1"/>
  <c r="K542" i="17" s="1"/>
  <c r="J542" i="17" a="1"/>
  <c r="J542" i="17" s="1"/>
  <c r="O542" i="17" s="1"/>
  <c r="I542" i="17"/>
  <c r="N542" i="17" s="1"/>
  <c r="L541" i="17" a="1"/>
  <c r="L541" i="17" s="1"/>
  <c r="M541" i="17" s="1"/>
  <c r="K541" i="17" a="1"/>
  <c r="K541" i="17" s="1"/>
  <c r="J541" i="17" a="1"/>
  <c r="J541" i="17" s="1"/>
  <c r="O541" i="17" s="1"/>
  <c r="I541" i="17"/>
  <c r="N541" i="17" s="1"/>
  <c r="L540" i="17" a="1"/>
  <c r="L540" i="17" s="1"/>
  <c r="M540" i="17" s="1"/>
  <c r="K540" i="17" a="1"/>
  <c r="K540" i="17" s="1"/>
  <c r="J540" i="17" a="1"/>
  <c r="J540" i="17" s="1"/>
  <c r="O540" i="17" s="1"/>
  <c r="I540" i="17"/>
  <c r="N540" i="17" s="1"/>
  <c r="L539" i="17" a="1"/>
  <c r="L539" i="17" s="1"/>
  <c r="M539" i="17" s="1"/>
  <c r="K539" i="17" a="1"/>
  <c r="K539" i="17" s="1"/>
  <c r="J539" i="17" a="1"/>
  <c r="J539" i="17" s="1"/>
  <c r="O539" i="17" s="1"/>
  <c r="I539" i="17"/>
  <c r="N539" i="17" s="1"/>
  <c r="L538" i="17" a="1"/>
  <c r="L538" i="17" s="1"/>
  <c r="M538" i="17" s="1"/>
  <c r="K538" i="17" a="1"/>
  <c r="K538" i="17" s="1"/>
  <c r="J538" i="17" a="1"/>
  <c r="J538" i="17" s="1"/>
  <c r="O538" i="17" s="1"/>
  <c r="I538" i="17"/>
  <c r="N538" i="17" s="1"/>
  <c r="L537" i="17" a="1"/>
  <c r="L537" i="17" s="1"/>
  <c r="M537" i="17" s="1"/>
  <c r="K537" i="17" a="1"/>
  <c r="K537" i="17" s="1"/>
  <c r="J537" i="17" a="1"/>
  <c r="J537" i="17" s="1"/>
  <c r="O537" i="17" s="1"/>
  <c r="I537" i="17"/>
  <c r="N537" i="17" s="1"/>
  <c r="L536" i="17" a="1"/>
  <c r="L536" i="17" s="1"/>
  <c r="M536" i="17" s="1"/>
  <c r="K536" i="17" a="1"/>
  <c r="K536" i="17" s="1"/>
  <c r="J536" i="17" a="1"/>
  <c r="J536" i="17" s="1"/>
  <c r="O536" i="17" s="1"/>
  <c r="I536" i="17"/>
  <c r="N536" i="17" s="1"/>
  <c r="L535" i="17" a="1"/>
  <c r="L535" i="17" s="1"/>
  <c r="M535" i="17" s="1"/>
  <c r="K535" i="17" a="1"/>
  <c r="K535" i="17" s="1"/>
  <c r="J535" i="17" a="1"/>
  <c r="J535" i="17" s="1"/>
  <c r="O535" i="17" s="1"/>
  <c r="I535" i="17"/>
  <c r="N535" i="17" s="1"/>
  <c r="L534" i="17" a="1"/>
  <c r="L534" i="17" s="1"/>
  <c r="M534" i="17" s="1"/>
  <c r="K534" i="17" a="1"/>
  <c r="K534" i="17" s="1"/>
  <c r="J534" i="17" a="1"/>
  <c r="J534" i="17" s="1"/>
  <c r="O534" i="17" s="1"/>
  <c r="I534" i="17"/>
  <c r="N534" i="17" s="1"/>
  <c r="L533" i="17" a="1"/>
  <c r="L533" i="17" s="1"/>
  <c r="M533" i="17" s="1"/>
  <c r="K533" i="17" a="1"/>
  <c r="K533" i="17" s="1"/>
  <c r="J533" i="17" a="1"/>
  <c r="J533" i="17" s="1"/>
  <c r="O533" i="17" s="1"/>
  <c r="I533" i="17"/>
  <c r="N533" i="17" s="1"/>
  <c r="L532" i="17" a="1"/>
  <c r="L532" i="17" s="1"/>
  <c r="M532" i="17" s="1"/>
  <c r="K532" i="17" a="1"/>
  <c r="K532" i="17" s="1"/>
  <c r="J532" i="17" a="1"/>
  <c r="J532" i="17" s="1"/>
  <c r="O532" i="17" s="1"/>
  <c r="I532" i="17"/>
  <c r="N532" i="17" s="1"/>
  <c r="L531" i="17" a="1"/>
  <c r="L531" i="17" s="1"/>
  <c r="M531" i="17" s="1"/>
  <c r="K531" i="17" a="1"/>
  <c r="K531" i="17" s="1"/>
  <c r="J531" i="17" a="1"/>
  <c r="J531" i="17" s="1"/>
  <c r="O531" i="17" s="1"/>
  <c r="I531" i="17"/>
  <c r="N531" i="17" s="1"/>
  <c r="L530" i="17" a="1"/>
  <c r="L530" i="17" s="1"/>
  <c r="M530" i="17" s="1"/>
  <c r="K530" i="17" a="1"/>
  <c r="K530" i="17" s="1"/>
  <c r="J530" i="17" a="1"/>
  <c r="J530" i="17" s="1"/>
  <c r="O530" i="17" s="1"/>
  <c r="I530" i="17"/>
  <c r="N530" i="17" s="1"/>
  <c r="L529" i="17" a="1"/>
  <c r="L529" i="17" s="1"/>
  <c r="M529" i="17" s="1"/>
  <c r="K529" i="17" a="1"/>
  <c r="K529" i="17" s="1"/>
  <c r="J529" i="17" a="1"/>
  <c r="J529" i="17" s="1"/>
  <c r="O529" i="17" s="1"/>
  <c r="I529" i="17"/>
  <c r="N529" i="17" s="1"/>
  <c r="L528" i="17" a="1"/>
  <c r="L528" i="17" s="1"/>
  <c r="M528" i="17" s="1"/>
  <c r="K528" i="17" a="1"/>
  <c r="K528" i="17" s="1"/>
  <c r="J528" i="17" a="1"/>
  <c r="J528" i="17" s="1"/>
  <c r="O528" i="17" s="1"/>
  <c r="I528" i="17"/>
  <c r="N528" i="17" s="1"/>
  <c r="L527" i="17" a="1"/>
  <c r="L527" i="17" s="1"/>
  <c r="M527" i="17" s="1"/>
  <c r="K527" i="17" a="1"/>
  <c r="K527" i="17" s="1"/>
  <c r="J527" i="17" a="1"/>
  <c r="J527" i="17" s="1"/>
  <c r="O527" i="17" s="1"/>
  <c r="I527" i="17"/>
  <c r="N527" i="17" s="1"/>
  <c r="L526" i="17" a="1"/>
  <c r="L526" i="17" s="1"/>
  <c r="M526" i="17" s="1"/>
  <c r="K526" i="17" a="1"/>
  <c r="K526" i="17" s="1"/>
  <c r="J526" i="17" a="1"/>
  <c r="J526" i="17" s="1"/>
  <c r="O526" i="17" s="1"/>
  <c r="I526" i="17"/>
  <c r="N526" i="17" s="1"/>
  <c r="L525" i="17" a="1"/>
  <c r="L525" i="17" s="1"/>
  <c r="M525" i="17" s="1"/>
  <c r="K525" i="17" a="1"/>
  <c r="K525" i="17" s="1"/>
  <c r="J525" i="17" a="1"/>
  <c r="J525" i="17" s="1"/>
  <c r="O525" i="17" s="1"/>
  <c r="I525" i="17"/>
  <c r="N525" i="17" s="1"/>
  <c r="L524" i="17" a="1"/>
  <c r="L524" i="17" s="1"/>
  <c r="M524" i="17" s="1"/>
  <c r="K524" i="17" a="1"/>
  <c r="K524" i="17" s="1"/>
  <c r="J524" i="17" a="1"/>
  <c r="J524" i="17" s="1"/>
  <c r="O524" i="17" s="1"/>
  <c r="I524" i="17"/>
  <c r="N524" i="17" s="1"/>
  <c r="L523" i="17" a="1"/>
  <c r="L523" i="17" s="1"/>
  <c r="M523" i="17" s="1"/>
  <c r="K523" i="17" a="1"/>
  <c r="K523" i="17" s="1"/>
  <c r="J523" i="17" a="1"/>
  <c r="J523" i="17" s="1"/>
  <c r="O523" i="17" s="1"/>
  <c r="I523" i="17"/>
  <c r="N523" i="17" s="1"/>
  <c r="L522" i="17" a="1"/>
  <c r="L522" i="17" s="1"/>
  <c r="M522" i="17" s="1"/>
  <c r="K522" i="17" a="1"/>
  <c r="K522" i="17" s="1"/>
  <c r="J522" i="17" a="1"/>
  <c r="J522" i="17" s="1"/>
  <c r="O522" i="17" s="1"/>
  <c r="I522" i="17"/>
  <c r="N522" i="17" s="1"/>
  <c r="L521" i="17" a="1"/>
  <c r="L521" i="17" s="1"/>
  <c r="M521" i="17" s="1"/>
  <c r="K521" i="17" a="1"/>
  <c r="K521" i="17" s="1"/>
  <c r="J521" i="17" a="1"/>
  <c r="J521" i="17" s="1"/>
  <c r="O521" i="17" s="1"/>
  <c r="I521" i="17"/>
  <c r="N521" i="17" s="1"/>
  <c r="L520" i="17" a="1"/>
  <c r="L520" i="17" s="1"/>
  <c r="M520" i="17" s="1"/>
  <c r="K520" i="17" a="1"/>
  <c r="K520" i="17" s="1"/>
  <c r="J520" i="17" a="1"/>
  <c r="J520" i="17" s="1"/>
  <c r="O520" i="17" s="1"/>
  <c r="I520" i="17"/>
  <c r="N520" i="17" s="1"/>
  <c r="L519" i="17" a="1"/>
  <c r="L519" i="17" s="1"/>
  <c r="M519" i="17" s="1"/>
  <c r="K519" i="17" a="1"/>
  <c r="K519" i="17" s="1"/>
  <c r="J519" i="17" a="1"/>
  <c r="J519" i="17" s="1"/>
  <c r="O519" i="17" s="1"/>
  <c r="I519" i="17"/>
  <c r="N519" i="17" s="1"/>
  <c r="L518" i="17" a="1"/>
  <c r="L518" i="17" s="1"/>
  <c r="M518" i="17" s="1"/>
  <c r="K518" i="17" a="1"/>
  <c r="K518" i="17" s="1"/>
  <c r="J518" i="17" a="1"/>
  <c r="J518" i="17" s="1"/>
  <c r="O518" i="17" s="1"/>
  <c r="I518" i="17"/>
  <c r="N518" i="17" s="1"/>
  <c r="L517" i="17" a="1"/>
  <c r="L517" i="17" s="1"/>
  <c r="M517" i="17" s="1"/>
  <c r="K517" i="17" a="1"/>
  <c r="K517" i="17" s="1"/>
  <c r="J517" i="17" a="1"/>
  <c r="J517" i="17" s="1"/>
  <c r="O517" i="17" s="1"/>
  <c r="I517" i="17"/>
  <c r="N517" i="17" s="1"/>
  <c r="L516" i="17" a="1"/>
  <c r="L516" i="17" s="1"/>
  <c r="M516" i="17" s="1"/>
  <c r="K516" i="17" a="1"/>
  <c r="K516" i="17" s="1"/>
  <c r="J516" i="17" a="1"/>
  <c r="J516" i="17" s="1"/>
  <c r="O516" i="17" s="1"/>
  <c r="I516" i="17"/>
  <c r="N516" i="17" s="1"/>
  <c r="L515" i="17" a="1"/>
  <c r="L515" i="17" s="1"/>
  <c r="M515" i="17" s="1"/>
  <c r="K515" i="17" a="1"/>
  <c r="K515" i="17" s="1"/>
  <c r="J515" i="17" a="1"/>
  <c r="J515" i="17" s="1"/>
  <c r="O515" i="17" s="1"/>
  <c r="I515" i="17"/>
  <c r="N515" i="17" s="1"/>
  <c r="L514" i="17" a="1"/>
  <c r="L514" i="17" s="1"/>
  <c r="M514" i="17" s="1"/>
  <c r="K514" i="17" a="1"/>
  <c r="K514" i="17" s="1"/>
  <c r="J514" i="17" a="1"/>
  <c r="J514" i="17" s="1"/>
  <c r="O514" i="17" s="1"/>
  <c r="I514" i="17"/>
  <c r="N514" i="17" s="1"/>
  <c r="L513" i="17" a="1"/>
  <c r="L513" i="17" s="1"/>
  <c r="M513" i="17" s="1"/>
  <c r="K513" i="17" a="1"/>
  <c r="K513" i="17" s="1"/>
  <c r="J513" i="17" a="1"/>
  <c r="J513" i="17" s="1"/>
  <c r="O513" i="17" s="1"/>
  <c r="I513" i="17"/>
  <c r="N513" i="17" s="1"/>
  <c r="L512" i="17" a="1"/>
  <c r="L512" i="17" s="1"/>
  <c r="M512" i="17" s="1"/>
  <c r="K512" i="17" a="1"/>
  <c r="K512" i="17" s="1"/>
  <c r="J512" i="17" a="1"/>
  <c r="J512" i="17" s="1"/>
  <c r="O512" i="17" s="1"/>
  <c r="I512" i="17"/>
  <c r="N512" i="17" s="1"/>
  <c r="L511" i="17" a="1"/>
  <c r="L511" i="17" s="1"/>
  <c r="M511" i="17" s="1"/>
  <c r="K511" i="17" a="1"/>
  <c r="K511" i="17" s="1"/>
  <c r="J511" i="17" a="1"/>
  <c r="J511" i="17" s="1"/>
  <c r="O511" i="17" s="1"/>
  <c r="I511" i="17"/>
  <c r="N511" i="17" s="1"/>
  <c r="L510" i="17" a="1"/>
  <c r="L510" i="17" s="1"/>
  <c r="M510" i="17" s="1"/>
  <c r="K510" i="17" a="1"/>
  <c r="K510" i="17" s="1"/>
  <c r="J510" i="17" a="1"/>
  <c r="J510" i="17" s="1"/>
  <c r="O510" i="17" s="1"/>
  <c r="I510" i="17"/>
  <c r="N510" i="17" s="1"/>
  <c r="L509" i="17" a="1"/>
  <c r="L509" i="17" s="1"/>
  <c r="M509" i="17" s="1"/>
  <c r="K509" i="17" a="1"/>
  <c r="K509" i="17" s="1"/>
  <c r="J509" i="17" a="1"/>
  <c r="J509" i="17" s="1"/>
  <c r="O509" i="17" s="1"/>
  <c r="I509" i="17"/>
  <c r="N509" i="17" s="1"/>
  <c r="L508" i="17" a="1"/>
  <c r="L508" i="17" s="1"/>
  <c r="M508" i="17" s="1"/>
  <c r="K508" i="17" a="1"/>
  <c r="K508" i="17" s="1"/>
  <c r="J508" i="17" a="1"/>
  <c r="J508" i="17" s="1"/>
  <c r="O508" i="17" s="1"/>
  <c r="I508" i="17"/>
  <c r="N508" i="17" s="1"/>
  <c r="L507" i="17" a="1"/>
  <c r="L507" i="17" s="1"/>
  <c r="M507" i="17" s="1"/>
  <c r="K507" i="17" a="1"/>
  <c r="K507" i="17" s="1"/>
  <c r="J507" i="17" a="1"/>
  <c r="J507" i="17" s="1"/>
  <c r="O507" i="17" s="1"/>
  <c r="I507" i="17"/>
  <c r="N507" i="17" s="1"/>
  <c r="L506" i="17" a="1"/>
  <c r="L506" i="17" s="1"/>
  <c r="M506" i="17" s="1"/>
  <c r="K506" i="17" a="1"/>
  <c r="K506" i="17" s="1"/>
  <c r="J506" i="17" a="1"/>
  <c r="J506" i="17" s="1"/>
  <c r="O506" i="17" s="1"/>
  <c r="I506" i="17"/>
  <c r="N506" i="17" s="1"/>
  <c r="L505" i="17" a="1"/>
  <c r="L505" i="17" s="1"/>
  <c r="M505" i="17" s="1"/>
  <c r="K505" i="17" a="1"/>
  <c r="K505" i="17" s="1"/>
  <c r="J505" i="17" a="1"/>
  <c r="J505" i="17" s="1"/>
  <c r="O505" i="17" s="1"/>
  <c r="I505" i="17"/>
  <c r="N505" i="17" s="1"/>
  <c r="L504" i="17" a="1"/>
  <c r="L504" i="17" s="1"/>
  <c r="M504" i="17" s="1"/>
  <c r="K504" i="17" a="1"/>
  <c r="K504" i="17" s="1"/>
  <c r="J504" i="17" a="1"/>
  <c r="J504" i="17" s="1"/>
  <c r="O504" i="17" s="1"/>
  <c r="I504" i="17"/>
  <c r="N504" i="17" s="1"/>
  <c r="L503" i="17" a="1"/>
  <c r="L503" i="17" s="1"/>
  <c r="M503" i="17" s="1"/>
  <c r="K503" i="17" a="1"/>
  <c r="K503" i="17" s="1"/>
  <c r="J503" i="17"/>
  <c r="O503" i="17" s="1"/>
  <c r="J503" i="17" a="1"/>
  <c r="I503" i="17"/>
  <c r="N503" i="17" s="1"/>
  <c r="L502" i="17" a="1"/>
  <c r="L502" i="17" s="1"/>
  <c r="M502" i="17" s="1"/>
  <c r="K502" i="17" a="1"/>
  <c r="K502" i="17" s="1"/>
  <c r="J502" i="17" a="1"/>
  <c r="J502" i="17" s="1"/>
  <c r="O502" i="17" s="1"/>
  <c r="I502" i="17"/>
  <c r="N502" i="17" s="1"/>
  <c r="L501" i="17" a="1"/>
  <c r="L501" i="17" s="1"/>
  <c r="M501" i="17" s="1"/>
  <c r="K501" i="17" a="1"/>
  <c r="K501" i="17" s="1"/>
  <c r="J501" i="17" a="1"/>
  <c r="J501" i="17" s="1"/>
  <c r="O501" i="17" s="1"/>
  <c r="I501" i="17"/>
  <c r="N501" i="17" s="1"/>
  <c r="L500" i="17"/>
  <c r="M500" i="17" s="1"/>
  <c r="L500" i="17" a="1"/>
  <c r="K500" i="17" a="1"/>
  <c r="K500" i="17" s="1"/>
  <c r="J500" i="17" a="1"/>
  <c r="J500" i="17" s="1"/>
  <c r="O500" i="17" s="1"/>
  <c r="I500" i="17"/>
  <c r="N500" i="17" s="1"/>
  <c r="L499" i="17" a="1"/>
  <c r="L499" i="17" s="1"/>
  <c r="M499" i="17" s="1"/>
  <c r="K499" i="17" a="1"/>
  <c r="K499" i="17" s="1"/>
  <c r="J499" i="17" a="1"/>
  <c r="J499" i="17" s="1"/>
  <c r="O499" i="17" s="1"/>
  <c r="I499" i="17"/>
  <c r="N499" i="17" s="1"/>
  <c r="L498" i="17" a="1"/>
  <c r="L498" i="17" s="1"/>
  <c r="M498" i="17" s="1"/>
  <c r="K498" i="17" a="1"/>
  <c r="K498" i="17" s="1"/>
  <c r="J498" i="17" a="1"/>
  <c r="J498" i="17" s="1"/>
  <c r="O498" i="17" s="1"/>
  <c r="I498" i="17"/>
  <c r="N498" i="17" s="1"/>
  <c r="L497" i="17" a="1"/>
  <c r="L497" i="17" s="1"/>
  <c r="M497" i="17" s="1"/>
  <c r="K497" i="17" a="1"/>
  <c r="K497" i="17" s="1"/>
  <c r="J497" i="17" a="1"/>
  <c r="J497" i="17" s="1"/>
  <c r="O497" i="17" s="1"/>
  <c r="I497" i="17"/>
  <c r="N497" i="17" s="1"/>
  <c r="L496" i="17" a="1"/>
  <c r="L496" i="17" s="1"/>
  <c r="M496" i="17" s="1"/>
  <c r="K496" i="17" a="1"/>
  <c r="K496" i="17" s="1"/>
  <c r="J496" i="17" a="1"/>
  <c r="J496" i="17" s="1"/>
  <c r="O496" i="17" s="1"/>
  <c r="I496" i="17"/>
  <c r="N496" i="17" s="1"/>
  <c r="L495" i="17" a="1"/>
  <c r="L495" i="17" s="1"/>
  <c r="M495" i="17" s="1"/>
  <c r="K495" i="17" a="1"/>
  <c r="K495" i="17" s="1"/>
  <c r="J495" i="17" a="1"/>
  <c r="J495" i="17" s="1"/>
  <c r="O495" i="17" s="1"/>
  <c r="I495" i="17"/>
  <c r="N495" i="17" s="1"/>
  <c r="L494" i="17" a="1"/>
  <c r="L494" i="17" s="1"/>
  <c r="M494" i="17" s="1"/>
  <c r="K494" i="17" a="1"/>
  <c r="K494" i="17" s="1"/>
  <c r="J494" i="17" a="1"/>
  <c r="J494" i="17" s="1"/>
  <c r="O494" i="17" s="1"/>
  <c r="I494" i="17"/>
  <c r="N494" i="17" s="1"/>
  <c r="L493" i="17" a="1"/>
  <c r="L493" i="17" s="1"/>
  <c r="M493" i="17" s="1"/>
  <c r="K493" i="17" a="1"/>
  <c r="K493" i="17" s="1"/>
  <c r="J493" i="17"/>
  <c r="O493" i="17" s="1"/>
  <c r="J493" i="17" a="1"/>
  <c r="I493" i="17"/>
  <c r="N493" i="17" s="1"/>
  <c r="L492" i="17" a="1"/>
  <c r="L492" i="17" s="1"/>
  <c r="M492" i="17" s="1"/>
  <c r="K492" i="17" a="1"/>
  <c r="K492" i="17" s="1"/>
  <c r="J492" i="17" a="1"/>
  <c r="J492" i="17" s="1"/>
  <c r="O492" i="17" s="1"/>
  <c r="I492" i="17"/>
  <c r="N492" i="17" s="1"/>
  <c r="L491" i="17" a="1"/>
  <c r="L491" i="17" s="1"/>
  <c r="M491" i="17" s="1"/>
  <c r="K491" i="17" a="1"/>
  <c r="K491" i="17" s="1"/>
  <c r="J491" i="17" a="1"/>
  <c r="J491" i="17" s="1"/>
  <c r="O491" i="17" s="1"/>
  <c r="I491" i="17"/>
  <c r="N491" i="17" s="1"/>
  <c r="L490" i="17" a="1"/>
  <c r="L490" i="17" s="1"/>
  <c r="M490" i="17" s="1"/>
  <c r="K490" i="17" a="1"/>
  <c r="K490" i="17" s="1"/>
  <c r="J490" i="17" a="1"/>
  <c r="J490" i="17" s="1"/>
  <c r="O490" i="17" s="1"/>
  <c r="I490" i="17"/>
  <c r="N490" i="17" s="1"/>
  <c r="L489" i="17" a="1"/>
  <c r="L489" i="17" s="1"/>
  <c r="M489" i="17" s="1"/>
  <c r="K489" i="17" a="1"/>
  <c r="K489" i="17" s="1"/>
  <c r="J489" i="17" a="1"/>
  <c r="J489" i="17" s="1"/>
  <c r="O489" i="17" s="1"/>
  <c r="I489" i="17"/>
  <c r="N489" i="17" s="1"/>
  <c r="L488" i="17" a="1"/>
  <c r="L488" i="17" s="1"/>
  <c r="M488" i="17" s="1"/>
  <c r="K488" i="17" a="1"/>
  <c r="K488" i="17" s="1"/>
  <c r="J488" i="17" a="1"/>
  <c r="J488" i="17" s="1"/>
  <c r="O488" i="17" s="1"/>
  <c r="I488" i="17"/>
  <c r="N488" i="17" s="1"/>
  <c r="L487" i="17" a="1"/>
  <c r="L487" i="17" s="1"/>
  <c r="M487" i="17" s="1"/>
  <c r="K487" i="17" a="1"/>
  <c r="K487" i="17" s="1"/>
  <c r="J487" i="17" a="1"/>
  <c r="J487" i="17" s="1"/>
  <c r="O487" i="17" s="1"/>
  <c r="I487" i="17"/>
  <c r="N487" i="17" s="1"/>
  <c r="L486" i="17" a="1"/>
  <c r="L486" i="17" s="1"/>
  <c r="M486" i="17" s="1"/>
  <c r="K486" i="17" a="1"/>
  <c r="K486" i="17" s="1"/>
  <c r="J486" i="17" a="1"/>
  <c r="J486" i="17" s="1"/>
  <c r="O486" i="17" s="1"/>
  <c r="I486" i="17"/>
  <c r="N486" i="17" s="1"/>
  <c r="L485" i="17" a="1"/>
  <c r="L485" i="17" s="1"/>
  <c r="M485" i="17" s="1"/>
  <c r="K485" i="17" a="1"/>
  <c r="K485" i="17" s="1"/>
  <c r="J485" i="17" a="1"/>
  <c r="J485" i="17" s="1"/>
  <c r="O485" i="17" s="1"/>
  <c r="I485" i="17"/>
  <c r="N485" i="17" s="1"/>
  <c r="L484" i="17" a="1"/>
  <c r="L484" i="17" s="1"/>
  <c r="M484" i="17" s="1"/>
  <c r="K484" i="17" a="1"/>
  <c r="K484" i="17" s="1"/>
  <c r="J484" i="17" a="1"/>
  <c r="J484" i="17" s="1"/>
  <c r="O484" i="17" s="1"/>
  <c r="I484" i="17"/>
  <c r="N484" i="17" s="1"/>
  <c r="L483" i="17" a="1"/>
  <c r="L483" i="17" s="1"/>
  <c r="M483" i="17" s="1"/>
  <c r="K483" i="17" a="1"/>
  <c r="K483" i="17" s="1"/>
  <c r="J483" i="17" a="1"/>
  <c r="J483" i="17" s="1"/>
  <c r="O483" i="17" s="1"/>
  <c r="I483" i="17"/>
  <c r="N483" i="17" s="1"/>
  <c r="L482" i="17" a="1"/>
  <c r="L482" i="17" s="1"/>
  <c r="M482" i="17" s="1"/>
  <c r="K482" i="17" a="1"/>
  <c r="K482" i="17" s="1"/>
  <c r="J482" i="17" a="1"/>
  <c r="J482" i="17" s="1"/>
  <c r="O482" i="17" s="1"/>
  <c r="I482" i="17"/>
  <c r="N482" i="17" s="1"/>
  <c r="L481" i="17" a="1"/>
  <c r="L481" i="17" s="1"/>
  <c r="M481" i="17" s="1"/>
  <c r="K481" i="17" a="1"/>
  <c r="K481" i="17" s="1"/>
  <c r="J481" i="17" a="1"/>
  <c r="J481" i="17" s="1"/>
  <c r="O481" i="17" s="1"/>
  <c r="I481" i="17"/>
  <c r="N481" i="17" s="1"/>
  <c r="L480" i="17" a="1"/>
  <c r="L480" i="17" s="1"/>
  <c r="M480" i="17" s="1"/>
  <c r="K480" i="17" a="1"/>
  <c r="K480" i="17" s="1"/>
  <c r="J480" i="17" a="1"/>
  <c r="J480" i="17" s="1"/>
  <c r="O480" i="17" s="1"/>
  <c r="I480" i="17"/>
  <c r="N480" i="17" s="1"/>
  <c r="L479" i="17" a="1"/>
  <c r="L479" i="17" s="1"/>
  <c r="M479" i="17" s="1"/>
  <c r="K479" i="17" a="1"/>
  <c r="K479" i="17" s="1"/>
  <c r="J479" i="17" a="1"/>
  <c r="J479" i="17" s="1"/>
  <c r="O479" i="17" s="1"/>
  <c r="I479" i="17"/>
  <c r="N479" i="17" s="1"/>
  <c r="L478" i="17" a="1"/>
  <c r="L478" i="17" s="1"/>
  <c r="M478" i="17" s="1"/>
  <c r="K478" i="17" a="1"/>
  <c r="K478" i="17" s="1"/>
  <c r="J478" i="17" a="1"/>
  <c r="J478" i="17" s="1"/>
  <c r="O478" i="17" s="1"/>
  <c r="I478" i="17"/>
  <c r="N478" i="17" s="1"/>
  <c r="L477" i="17" a="1"/>
  <c r="L477" i="17" s="1"/>
  <c r="M477" i="17" s="1"/>
  <c r="K477" i="17" a="1"/>
  <c r="K477" i="17" s="1"/>
  <c r="J477" i="17" a="1"/>
  <c r="J477" i="17" s="1"/>
  <c r="O477" i="17" s="1"/>
  <c r="I477" i="17"/>
  <c r="N477" i="17" s="1"/>
  <c r="L476" i="17" a="1"/>
  <c r="L476" i="17" s="1"/>
  <c r="M476" i="17" s="1"/>
  <c r="K476" i="17" a="1"/>
  <c r="K476" i="17" s="1"/>
  <c r="J476" i="17" a="1"/>
  <c r="J476" i="17" s="1"/>
  <c r="O476" i="17" s="1"/>
  <c r="I476" i="17"/>
  <c r="N476" i="17" s="1"/>
  <c r="L475" i="17" a="1"/>
  <c r="L475" i="17" s="1"/>
  <c r="M475" i="17" s="1"/>
  <c r="K475" i="17" a="1"/>
  <c r="K475" i="17" s="1"/>
  <c r="J475" i="17" a="1"/>
  <c r="J475" i="17" s="1"/>
  <c r="O475" i="17" s="1"/>
  <c r="I475" i="17"/>
  <c r="N475" i="17" s="1"/>
  <c r="L474" i="17" a="1"/>
  <c r="L474" i="17" s="1"/>
  <c r="M474" i="17" s="1"/>
  <c r="K474" i="17" a="1"/>
  <c r="K474" i="17" s="1"/>
  <c r="J474" i="17" a="1"/>
  <c r="J474" i="17" s="1"/>
  <c r="O474" i="17" s="1"/>
  <c r="I474" i="17"/>
  <c r="N474" i="17" s="1"/>
  <c r="L473" i="17" a="1"/>
  <c r="L473" i="17" s="1"/>
  <c r="M473" i="17" s="1"/>
  <c r="K473" i="17" a="1"/>
  <c r="K473" i="17" s="1"/>
  <c r="J473" i="17" a="1"/>
  <c r="J473" i="17" s="1"/>
  <c r="O473" i="17" s="1"/>
  <c r="I473" i="17"/>
  <c r="N473" i="17" s="1"/>
  <c r="L472" i="17" a="1"/>
  <c r="L472" i="17" s="1"/>
  <c r="M472" i="17" s="1"/>
  <c r="K472" i="17" a="1"/>
  <c r="K472" i="17" s="1"/>
  <c r="J472" i="17" a="1"/>
  <c r="J472" i="17" s="1"/>
  <c r="O472" i="17" s="1"/>
  <c r="I472" i="17"/>
  <c r="N472" i="17" s="1"/>
  <c r="L471" i="17" a="1"/>
  <c r="L471" i="17" s="1"/>
  <c r="M471" i="17" s="1"/>
  <c r="K471" i="17" a="1"/>
  <c r="K471" i="17" s="1"/>
  <c r="J471" i="17" a="1"/>
  <c r="J471" i="17" s="1"/>
  <c r="O471" i="17" s="1"/>
  <c r="I471" i="17"/>
  <c r="N471" i="17" s="1"/>
  <c r="L470" i="17" a="1"/>
  <c r="L470" i="17" s="1"/>
  <c r="M470" i="17" s="1"/>
  <c r="K470" i="17" a="1"/>
  <c r="K470" i="17" s="1"/>
  <c r="J470" i="17" a="1"/>
  <c r="J470" i="17" s="1"/>
  <c r="O470" i="17" s="1"/>
  <c r="I470" i="17"/>
  <c r="N470" i="17" s="1"/>
  <c r="L469" i="17" a="1"/>
  <c r="L469" i="17" s="1"/>
  <c r="M469" i="17" s="1"/>
  <c r="K469" i="17" a="1"/>
  <c r="K469" i="17" s="1"/>
  <c r="J469" i="17" a="1"/>
  <c r="J469" i="17" s="1"/>
  <c r="O469" i="17" s="1"/>
  <c r="I469" i="17"/>
  <c r="N469" i="17" s="1"/>
  <c r="L468" i="17" a="1"/>
  <c r="L468" i="17" s="1"/>
  <c r="M468" i="17" s="1"/>
  <c r="K468" i="17" a="1"/>
  <c r="K468" i="17" s="1"/>
  <c r="J468" i="17" a="1"/>
  <c r="J468" i="17" s="1"/>
  <c r="O468" i="17" s="1"/>
  <c r="I468" i="17"/>
  <c r="N468" i="17" s="1"/>
  <c r="L467" i="17"/>
  <c r="M467" i="17" s="1"/>
  <c r="L467" i="17" a="1"/>
  <c r="K467" i="17" a="1"/>
  <c r="K467" i="17" s="1"/>
  <c r="J467" i="17" a="1"/>
  <c r="J467" i="17" s="1"/>
  <c r="O467" i="17" s="1"/>
  <c r="I467" i="17"/>
  <c r="N467" i="17" s="1"/>
  <c r="L466" i="17" a="1"/>
  <c r="L466" i="17" s="1"/>
  <c r="M466" i="17" s="1"/>
  <c r="K466" i="17" a="1"/>
  <c r="K466" i="17" s="1"/>
  <c r="J466" i="17" a="1"/>
  <c r="J466" i="17" s="1"/>
  <c r="O466" i="17" s="1"/>
  <c r="I466" i="17"/>
  <c r="N466" i="17" s="1"/>
  <c r="L465" i="17" a="1"/>
  <c r="L465" i="17" s="1"/>
  <c r="M465" i="17" s="1"/>
  <c r="K465" i="17" a="1"/>
  <c r="K465" i="17" s="1"/>
  <c r="J465" i="17" a="1"/>
  <c r="J465" i="17" s="1"/>
  <c r="O465" i="17" s="1"/>
  <c r="I465" i="17"/>
  <c r="N465" i="17" s="1"/>
  <c r="L464" i="17" a="1"/>
  <c r="L464" i="17" s="1"/>
  <c r="M464" i="17" s="1"/>
  <c r="K464" i="17" a="1"/>
  <c r="K464" i="17" s="1"/>
  <c r="J464" i="17" a="1"/>
  <c r="J464" i="17" s="1"/>
  <c r="O464" i="17" s="1"/>
  <c r="I464" i="17"/>
  <c r="N464" i="17" s="1"/>
  <c r="L463" i="17" a="1"/>
  <c r="L463" i="17" s="1"/>
  <c r="M463" i="17" s="1"/>
  <c r="K463" i="17" a="1"/>
  <c r="K463" i="17" s="1"/>
  <c r="J463" i="17" a="1"/>
  <c r="J463" i="17" s="1"/>
  <c r="O463" i="17" s="1"/>
  <c r="I463" i="17"/>
  <c r="N463" i="17" s="1"/>
  <c r="L462" i="17" a="1"/>
  <c r="L462" i="17" s="1"/>
  <c r="M462" i="17" s="1"/>
  <c r="K462" i="17" a="1"/>
  <c r="K462" i="17" s="1"/>
  <c r="J462" i="17" a="1"/>
  <c r="J462" i="17" s="1"/>
  <c r="O462" i="17" s="1"/>
  <c r="I462" i="17"/>
  <c r="N462" i="17" s="1"/>
  <c r="L461" i="17" a="1"/>
  <c r="L461" i="17" s="1"/>
  <c r="M461" i="17" s="1"/>
  <c r="K461" i="17" a="1"/>
  <c r="K461" i="17" s="1"/>
  <c r="J461" i="17" a="1"/>
  <c r="J461" i="17" s="1"/>
  <c r="O461" i="17" s="1"/>
  <c r="I461" i="17"/>
  <c r="N461" i="17" s="1"/>
  <c r="L460" i="17" a="1"/>
  <c r="L460" i="17" s="1"/>
  <c r="M460" i="17" s="1"/>
  <c r="K460" i="17" a="1"/>
  <c r="K460" i="17" s="1"/>
  <c r="J460" i="17" a="1"/>
  <c r="J460" i="17" s="1"/>
  <c r="O460" i="17" s="1"/>
  <c r="I460" i="17"/>
  <c r="N460" i="17" s="1"/>
  <c r="L459" i="17" a="1"/>
  <c r="L459" i="17" s="1"/>
  <c r="M459" i="17" s="1"/>
  <c r="K459" i="17" a="1"/>
  <c r="K459" i="17" s="1"/>
  <c r="J459" i="17" a="1"/>
  <c r="J459" i="17" s="1"/>
  <c r="O459" i="17" s="1"/>
  <c r="I459" i="17"/>
  <c r="N459" i="17" s="1"/>
  <c r="L458" i="17" a="1"/>
  <c r="L458" i="17" s="1"/>
  <c r="M458" i="17" s="1"/>
  <c r="K458" i="17" a="1"/>
  <c r="K458" i="17" s="1"/>
  <c r="J458" i="17" a="1"/>
  <c r="J458" i="17" s="1"/>
  <c r="O458" i="17" s="1"/>
  <c r="I458" i="17"/>
  <c r="N458" i="17" s="1"/>
  <c r="L457" i="17" a="1"/>
  <c r="L457" i="17" s="1"/>
  <c r="M457" i="17" s="1"/>
  <c r="K457" i="17" a="1"/>
  <c r="K457" i="17" s="1"/>
  <c r="J457" i="17" a="1"/>
  <c r="J457" i="17" s="1"/>
  <c r="O457" i="17" s="1"/>
  <c r="I457" i="17"/>
  <c r="N457" i="17" s="1"/>
  <c r="L456" i="17" a="1"/>
  <c r="L456" i="17" s="1"/>
  <c r="M456" i="17" s="1"/>
  <c r="K456" i="17" a="1"/>
  <c r="K456" i="17" s="1"/>
  <c r="J456" i="17" a="1"/>
  <c r="J456" i="17" s="1"/>
  <c r="O456" i="17" s="1"/>
  <c r="I456" i="17"/>
  <c r="N456" i="17" s="1"/>
  <c r="L455" i="17" a="1"/>
  <c r="L455" i="17" s="1"/>
  <c r="M455" i="17" s="1"/>
  <c r="K455" i="17" a="1"/>
  <c r="K455" i="17" s="1"/>
  <c r="J455" i="17" a="1"/>
  <c r="J455" i="17" s="1"/>
  <c r="O455" i="17" s="1"/>
  <c r="I455" i="17"/>
  <c r="N455" i="17" s="1"/>
  <c r="L454" i="17" a="1"/>
  <c r="L454" i="17" s="1"/>
  <c r="M454" i="17" s="1"/>
  <c r="K454" i="17" a="1"/>
  <c r="K454" i="17" s="1"/>
  <c r="J454" i="17" a="1"/>
  <c r="J454" i="17" s="1"/>
  <c r="O454" i="17" s="1"/>
  <c r="I454" i="17"/>
  <c r="N454" i="17" s="1"/>
  <c r="L453" i="17" a="1"/>
  <c r="L453" i="17" s="1"/>
  <c r="M453" i="17" s="1"/>
  <c r="K453" i="17" a="1"/>
  <c r="K453" i="17" s="1"/>
  <c r="J453" i="17" a="1"/>
  <c r="J453" i="17" s="1"/>
  <c r="O453" i="17" s="1"/>
  <c r="I453" i="17"/>
  <c r="N453" i="17" s="1"/>
  <c r="L452" i="17" a="1"/>
  <c r="L452" i="17" s="1"/>
  <c r="M452" i="17" s="1"/>
  <c r="K452" i="17" a="1"/>
  <c r="K452" i="17" s="1"/>
  <c r="J452" i="17" a="1"/>
  <c r="J452" i="17" s="1"/>
  <c r="O452" i="17" s="1"/>
  <c r="I452" i="17"/>
  <c r="N452" i="17" s="1"/>
  <c r="L451" i="17" a="1"/>
  <c r="L451" i="17" s="1"/>
  <c r="M451" i="17" s="1"/>
  <c r="K451" i="17" a="1"/>
  <c r="K451" i="17" s="1"/>
  <c r="J451" i="17" a="1"/>
  <c r="J451" i="17" s="1"/>
  <c r="O451" i="17" s="1"/>
  <c r="I451" i="17"/>
  <c r="N451" i="17" s="1"/>
  <c r="L450" i="17" a="1"/>
  <c r="L450" i="17" s="1"/>
  <c r="M450" i="17" s="1"/>
  <c r="K450" i="17" a="1"/>
  <c r="K450" i="17" s="1"/>
  <c r="J450" i="17" a="1"/>
  <c r="J450" i="17" s="1"/>
  <c r="O450" i="17" s="1"/>
  <c r="I450" i="17"/>
  <c r="N450" i="17" s="1"/>
  <c r="L449" i="17" a="1"/>
  <c r="L449" i="17" s="1"/>
  <c r="M449" i="17" s="1"/>
  <c r="K449" i="17" a="1"/>
  <c r="K449" i="17" s="1"/>
  <c r="J449" i="17" a="1"/>
  <c r="J449" i="17" s="1"/>
  <c r="O449" i="17" s="1"/>
  <c r="I449" i="17"/>
  <c r="N449" i="17" s="1"/>
  <c r="L448" i="17" a="1"/>
  <c r="L448" i="17" s="1"/>
  <c r="M448" i="17" s="1"/>
  <c r="K448" i="17" a="1"/>
  <c r="K448" i="17" s="1"/>
  <c r="J448" i="17" a="1"/>
  <c r="J448" i="17" s="1"/>
  <c r="O448" i="17" s="1"/>
  <c r="I448" i="17"/>
  <c r="N448" i="17" s="1"/>
  <c r="L447" i="17" a="1"/>
  <c r="L447" i="17" s="1"/>
  <c r="M447" i="17" s="1"/>
  <c r="K447" i="17" a="1"/>
  <c r="K447" i="17" s="1"/>
  <c r="J447" i="17" a="1"/>
  <c r="J447" i="17" s="1"/>
  <c r="O447" i="17" s="1"/>
  <c r="I447" i="17"/>
  <c r="N447" i="17" s="1"/>
  <c r="L446" i="17" a="1"/>
  <c r="L446" i="17" s="1"/>
  <c r="M446" i="17" s="1"/>
  <c r="K446" i="17" a="1"/>
  <c r="K446" i="17" s="1"/>
  <c r="J446" i="17" a="1"/>
  <c r="J446" i="17" s="1"/>
  <c r="O446" i="17" s="1"/>
  <c r="I446" i="17"/>
  <c r="N446" i="17" s="1"/>
  <c r="L445" i="17" a="1"/>
  <c r="L445" i="17" s="1"/>
  <c r="M445" i="17" s="1"/>
  <c r="K445" i="17" a="1"/>
  <c r="K445" i="17" s="1"/>
  <c r="J445" i="17" a="1"/>
  <c r="J445" i="17" s="1"/>
  <c r="O445" i="17" s="1"/>
  <c r="I445" i="17"/>
  <c r="N445" i="17" s="1"/>
  <c r="L444" i="17" a="1"/>
  <c r="L444" i="17" s="1"/>
  <c r="M444" i="17" s="1"/>
  <c r="K444" i="17" a="1"/>
  <c r="K444" i="17" s="1"/>
  <c r="J444" i="17" a="1"/>
  <c r="J444" i="17" s="1"/>
  <c r="O444" i="17" s="1"/>
  <c r="I444" i="17"/>
  <c r="N444" i="17" s="1"/>
  <c r="L443" i="17" a="1"/>
  <c r="L443" i="17" s="1"/>
  <c r="M443" i="17" s="1"/>
  <c r="K443" i="17" a="1"/>
  <c r="K443" i="17" s="1"/>
  <c r="J443" i="17" a="1"/>
  <c r="J443" i="17" s="1"/>
  <c r="O443" i="17" s="1"/>
  <c r="I443" i="17"/>
  <c r="N443" i="17" s="1"/>
  <c r="L442" i="17" a="1"/>
  <c r="L442" i="17" s="1"/>
  <c r="M442" i="17" s="1"/>
  <c r="K442" i="17" a="1"/>
  <c r="K442" i="17" s="1"/>
  <c r="J442" i="17" a="1"/>
  <c r="J442" i="17" s="1"/>
  <c r="O442" i="17" s="1"/>
  <c r="I442" i="17"/>
  <c r="N442" i="17" s="1"/>
  <c r="L441" i="17" a="1"/>
  <c r="L441" i="17" s="1"/>
  <c r="M441" i="17" s="1"/>
  <c r="K441" i="17" a="1"/>
  <c r="K441" i="17" s="1"/>
  <c r="J441" i="17" a="1"/>
  <c r="J441" i="17" s="1"/>
  <c r="O441" i="17" s="1"/>
  <c r="I441" i="17"/>
  <c r="N441" i="17" s="1"/>
  <c r="L440" i="17" a="1"/>
  <c r="L440" i="17" s="1"/>
  <c r="M440" i="17" s="1"/>
  <c r="K440" i="17" a="1"/>
  <c r="K440" i="17" s="1"/>
  <c r="J440" i="17" a="1"/>
  <c r="J440" i="17" s="1"/>
  <c r="O440" i="17" s="1"/>
  <c r="I440" i="17"/>
  <c r="N440" i="17" s="1"/>
  <c r="L439" i="17" a="1"/>
  <c r="L439" i="17" s="1"/>
  <c r="M439" i="17" s="1"/>
  <c r="K439" i="17" a="1"/>
  <c r="K439" i="17" s="1"/>
  <c r="J439" i="17" a="1"/>
  <c r="J439" i="17" s="1"/>
  <c r="O439" i="17" s="1"/>
  <c r="I439" i="17"/>
  <c r="N439" i="17" s="1"/>
  <c r="L438" i="17" a="1"/>
  <c r="L438" i="17" s="1"/>
  <c r="M438" i="17" s="1"/>
  <c r="K438" i="17" a="1"/>
  <c r="K438" i="17" s="1"/>
  <c r="J438" i="17" a="1"/>
  <c r="J438" i="17" s="1"/>
  <c r="O438" i="17" s="1"/>
  <c r="I438" i="17"/>
  <c r="N438" i="17" s="1"/>
  <c r="L437" i="17" a="1"/>
  <c r="L437" i="17" s="1"/>
  <c r="M437" i="17" s="1"/>
  <c r="K437" i="17"/>
  <c r="K437" i="17" a="1"/>
  <c r="J437" i="17" a="1"/>
  <c r="J437" i="17" s="1"/>
  <c r="O437" i="17" s="1"/>
  <c r="I437" i="17"/>
  <c r="N437" i="17" s="1"/>
  <c r="L436" i="17" a="1"/>
  <c r="L436" i="17" s="1"/>
  <c r="M436" i="17" s="1"/>
  <c r="K436" i="17" a="1"/>
  <c r="K436" i="17" s="1"/>
  <c r="J436" i="17" a="1"/>
  <c r="J436" i="17" s="1"/>
  <c r="O436" i="17" s="1"/>
  <c r="I436" i="17"/>
  <c r="N436" i="17" s="1"/>
  <c r="L435" i="17" a="1"/>
  <c r="L435" i="17" s="1"/>
  <c r="M435" i="17" s="1"/>
  <c r="K435" i="17" a="1"/>
  <c r="K435" i="17" s="1"/>
  <c r="J435" i="17" a="1"/>
  <c r="J435" i="17" s="1"/>
  <c r="O435" i="17" s="1"/>
  <c r="I435" i="17"/>
  <c r="N435" i="17" s="1"/>
  <c r="L434" i="17" a="1"/>
  <c r="L434" i="17" s="1"/>
  <c r="M434" i="17" s="1"/>
  <c r="K434" i="17" a="1"/>
  <c r="K434" i="17" s="1"/>
  <c r="J434" i="17" a="1"/>
  <c r="J434" i="17" s="1"/>
  <c r="O434" i="17" s="1"/>
  <c r="I434" i="17"/>
  <c r="N434" i="17" s="1"/>
  <c r="L433" i="17" a="1"/>
  <c r="L433" i="17" s="1"/>
  <c r="M433" i="17" s="1"/>
  <c r="K433" i="17" a="1"/>
  <c r="K433" i="17" s="1"/>
  <c r="J433" i="17" a="1"/>
  <c r="J433" i="17" s="1"/>
  <c r="O433" i="17" s="1"/>
  <c r="I433" i="17"/>
  <c r="N433" i="17" s="1"/>
  <c r="L432" i="17" a="1"/>
  <c r="L432" i="17" s="1"/>
  <c r="M432" i="17" s="1"/>
  <c r="K432" i="17" a="1"/>
  <c r="K432" i="17" s="1"/>
  <c r="J432" i="17" a="1"/>
  <c r="J432" i="17" s="1"/>
  <c r="O432" i="17" s="1"/>
  <c r="I432" i="17"/>
  <c r="N432" i="17" s="1"/>
  <c r="L431" i="17" a="1"/>
  <c r="L431" i="17" s="1"/>
  <c r="M431" i="17" s="1"/>
  <c r="K431" i="17"/>
  <c r="K431" i="17" a="1"/>
  <c r="J431" i="17" a="1"/>
  <c r="J431" i="17" s="1"/>
  <c r="O431" i="17" s="1"/>
  <c r="I431" i="17"/>
  <c r="N431" i="17" s="1"/>
  <c r="L430" i="17" a="1"/>
  <c r="L430" i="17" s="1"/>
  <c r="M430" i="17" s="1"/>
  <c r="K430" i="17" a="1"/>
  <c r="K430" i="17" s="1"/>
  <c r="J430" i="17" a="1"/>
  <c r="J430" i="17" s="1"/>
  <c r="O430" i="17" s="1"/>
  <c r="I430" i="17"/>
  <c r="N430" i="17" s="1"/>
  <c r="L429" i="17" a="1"/>
  <c r="L429" i="17" s="1"/>
  <c r="M429" i="17" s="1"/>
  <c r="K429" i="17" a="1"/>
  <c r="K429" i="17" s="1"/>
  <c r="J429" i="17" a="1"/>
  <c r="J429" i="17" s="1"/>
  <c r="O429" i="17" s="1"/>
  <c r="I429" i="17"/>
  <c r="N429" i="17" s="1"/>
  <c r="L428" i="17" a="1"/>
  <c r="L428" i="17" s="1"/>
  <c r="M428" i="17" s="1"/>
  <c r="K428" i="17" a="1"/>
  <c r="K428" i="17" s="1"/>
  <c r="J428" i="17" a="1"/>
  <c r="J428" i="17" s="1"/>
  <c r="O428" i="17" s="1"/>
  <c r="I428" i="17"/>
  <c r="N428" i="17" s="1"/>
  <c r="L427" i="17" a="1"/>
  <c r="L427" i="17" s="1"/>
  <c r="M427" i="17" s="1"/>
  <c r="K427" i="17" a="1"/>
  <c r="K427" i="17" s="1"/>
  <c r="J427" i="17" a="1"/>
  <c r="J427" i="17" s="1"/>
  <c r="O427" i="17" s="1"/>
  <c r="I427" i="17"/>
  <c r="N427" i="17" s="1"/>
  <c r="L426" i="17" a="1"/>
  <c r="L426" i="17" s="1"/>
  <c r="M426" i="17" s="1"/>
  <c r="K426" i="17" a="1"/>
  <c r="K426" i="17" s="1"/>
  <c r="J426" i="17" a="1"/>
  <c r="J426" i="17" s="1"/>
  <c r="O426" i="17" s="1"/>
  <c r="I426" i="17"/>
  <c r="N426" i="17" s="1"/>
  <c r="L425" i="17" a="1"/>
  <c r="L425" i="17" s="1"/>
  <c r="M425" i="17" s="1"/>
  <c r="K425" i="17" a="1"/>
  <c r="K425" i="17" s="1"/>
  <c r="J425" i="17" a="1"/>
  <c r="J425" i="17" s="1"/>
  <c r="O425" i="17" s="1"/>
  <c r="I425" i="17"/>
  <c r="N425" i="17" s="1"/>
  <c r="L424" i="17" a="1"/>
  <c r="L424" i="17" s="1"/>
  <c r="M424" i="17" s="1"/>
  <c r="K424" i="17" a="1"/>
  <c r="K424" i="17" s="1"/>
  <c r="J424" i="17" a="1"/>
  <c r="J424" i="17" s="1"/>
  <c r="O424" i="17" s="1"/>
  <c r="I424" i="17"/>
  <c r="N424" i="17" s="1"/>
  <c r="L423" i="17" a="1"/>
  <c r="L423" i="17" s="1"/>
  <c r="M423" i="17" s="1"/>
  <c r="K423" i="17" a="1"/>
  <c r="K423" i="17" s="1"/>
  <c r="J423" i="17" a="1"/>
  <c r="J423" i="17" s="1"/>
  <c r="O423" i="17" s="1"/>
  <c r="I423" i="17"/>
  <c r="N423" i="17" s="1"/>
  <c r="L422" i="17" a="1"/>
  <c r="L422" i="17" s="1"/>
  <c r="M422" i="17" s="1"/>
  <c r="K422" i="17" a="1"/>
  <c r="K422" i="17" s="1"/>
  <c r="J422" i="17" a="1"/>
  <c r="J422" i="17" s="1"/>
  <c r="O422" i="17" s="1"/>
  <c r="I422" i="17"/>
  <c r="N422" i="17" s="1"/>
  <c r="L421" i="17" a="1"/>
  <c r="L421" i="17" s="1"/>
  <c r="M421" i="17" s="1"/>
  <c r="K421" i="17" a="1"/>
  <c r="K421" i="17" s="1"/>
  <c r="J421" i="17" a="1"/>
  <c r="J421" i="17" s="1"/>
  <c r="O421" i="17" s="1"/>
  <c r="I421" i="17"/>
  <c r="N421" i="17" s="1"/>
  <c r="L420" i="17" a="1"/>
  <c r="L420" i="17" s="1"/>
  <c r="M420" i="17" s="1"/>
  <c r="K420" i="17" a="1"/>
  <c r="K420" i="17" s="1"/>
  <c r="J420" i="17" a="1"/>
  <c r="J420" i="17" s="1"/>
  <c r="O420" i="17" s="1"/>
  <c r="I420" i="17"/>
  <c r="N420" i="17" s="1"/>
  <c r="L419" i="17" a="1"/>
  <c r="L419" i="17" s="1"/>
  <c r="M419" i="17" s="1"/>
  <c r="K419" i="17" a="1"/>
  <c r="K419" i="17" s="1"/>
  <c r="J419" i="17" a="1"/>
  <c r="J419" i="17" s="1"/>
  <c r="O419" i="17" s="1"/>
  <c r="I419" i="17"/>
  <c r="N419" i="17" s="1"/>
  <c r="L418" i="17" a="1"/>
  <c r="L418" i="17" s="1"/>
  <c r="M418" i="17" s="1"/>
  <c r="K418" i="17" a="1"/>
  <c r="K418" i="17" s="1"/>
  <c r="J418" i="17" a="1"/>
  <c r="J418" i="17" s="1"/>
  <c r="O418" i="17" s="1"/>
  <c r="I418" i="17"/>
  <c r="N418" i="17" s="1"/>
  <c r="L417" i="17" a="1"/>
  <c r="L417" i="17" s="1"/>
  <c r="M417" i="17" s="1"/>
  <c r="K417" i="17" a="1"/>
  <c r="K417" i="17" s="1"/>
  <c r="J417" i="17" a="1"/>
  <c r="J417" i="17" s="1"/>
  <c r="O417" i="17" s="1"/>
  <c r="I417" i="17"/>
  <c r="N417" i="17" s="1"/>
  <c r="L416" i="17" a="1"/>
  <c r="L416" i="17" s="1"/>
  <c r="M416" i="17" s="1"/>
  <c r="K416" i="17" a="1"/>
  <c r="K416" i="17" s="1"/>
  <c r="J416" i="17" a="1"/>
  <c r="J416" i="17" s="1"/>
  <c r="O416" i="17" s="1"/>
  <c r="I416" i="17"/>
  <c r="N416" i="17" s="1"/>
  <c r="L415" i="17" a="1"/>
  <c r="L415" i="17" s="1"/>
  <c r="M415" i="17" s="1"/>
  <c r="K415" i="17" a="1"/>
  <c r="K415" i="17" s="1"/>
  <c r="J415" i="17" a="1"/>
  <c r="J415" i="17" s="1"/>
  <c r="O415" i="17" s="1"/>
  <c r="I415" i="17"/>
  <c r="N415" i="17" s="1"/>
  <c r="L414" i="17" a="1"/>
  <c r="L414" i="17" s="1"/>
  <c r="M414" i="17" s="1"/>
  <c r="K414" i="17" a="1"/>
  <c r="K414" i="17" s="1"/>
  <c r="J414" i="17" a="1"/>
  <c r="J414" i="17" s="1"/>
  <c r="O414" i="17" s="1"/>
  <c r="I414" i="17"/>
  <c r="N414" i="17" s="1"/>
  <c r="L413" i="17" a="1"/>
  <c r="L413" i="17" s="1"/>
  <c r="M413" i="17" s="1"/>
  <c r="K413" i="17" a="1"/>
  <c r="K413" i="17" s="1"/>
  <c r="J413" i="17" a="1"/>
  <c r="J413" i="17" s="1"/>
  <c r="O413" i="17" s="1"/>
  <c r="I413" i="17"/>
  <c r="N413" i="17" s="1"/>
  <c r="L412" i="17" a="1"/>
  <c r="L412" i="17" s="1"/>
  <c r="M412" i="17" s="1"/>
  <c r="K412" i="17" a="1"/>
  <c r="K412" i="17" s="1"/>
  <c r="J412" i="17" a="1"/>
  <c r="J412" i="17" s="1"/>
  <c r="O412" i="17" s="1"/>
  <c r="I412" i="17"/>
  <c r="N412" i="17" s="1"/>
  <c r="L411" i="17" a="1"/>
  <c r="L411" i="17" s="1"/>
  <c r="M411" i="17" s="1"/>
  <c r="K411" i="17" a="1"/>
  <c r="K411" i="17" s="1"/>
  <c r="J411" i="17" a="1"/>
  <c r="J411" i="17" s="1"/>
  <c r="O411" i="17" s="1"/>
  <c r="I411" i="17"/>
  <c r="N411" i="17" s="1"/>
  <c r="L410" i="17" a="1"/>
  <c r="L410" i="17" s="1"/>
  <c r="M410" i="17" s="1"/>
  <c r="K410" i="17" a="1"/>
  <c r="K410" i="17" s="1"/>
  <c r="J410" i="17" a="1"/>
  <c r="J410" i="17" s="1"/>
  <c r="O410" i="17" s="1"/>
  <c r="I410" i="17"/>
  <c r="N410" i="17" s="1"/>
  <c r="L409" i="17" a="1"/>
  <c r="L409" i="17" s="1"/>
  <c r="M409" i="17" s="1"/>
  <c r="K409" i="17" a="1"/>
  <c r="K409" i="17" s="1"/>
  <c r="J409" i="17" a="1"/>
  <c r="J409" i="17" s="1"/>
  <c r="O409" i="17" s="1"/>
  <c r="I409" i="17"/>
  <c r="N409" i="17" s="1"/>
  <c r="L408" i="17" a="1"/>
  <c r="L408" i="17" s="1"/>
  <c r="M408" i="17" s="1"/>
  <c r="K408" i="17" a="1"/>
  <c r="K408" i="17" s="1"/>
  <c r="J408" i="17" a="1"/>
  <c r="J408" i="17" s="1"/>
  <c r="O408" i="17" s="1"/>
  <c r="I408" i="17"/>
  <c r="N408" i="17" s="1"/>
  <c r="L407" i="17" a="1"/>
  <c r="L407" i="17" s="1"/>
  <c r="M407" i="17" s="1"/>
  <c r="K407" i="17" a="1"/>
  <c r="K407" i="17" s="1"/>
  <c r="J407" i="17" a="1"/>
  <c r="J407" i="17" s="1"/>
  <c r="O407" i="17" s="1"/>
  <c r="I407" i="17"/>
  <c r="N407" i="17" s="1"/>
  <c r="L406" i="17" a="1"/>
  <c r="L406" i="17" s="1"/>
  <c r="M406" i="17" s="1"/>
  <c r="K406" i="17" a="1"/>
  <c r="K406" i="17" s="1"/>
  <c r="J406" i="17" a="1"/>
  <c r="J406" i="17" s="1"/>
  <c r="O406" i="17" s="1"/>
  <c r="I406" i="17"/>
  <c r="N406" i="17" s="1"/>
  <c r="L405" i="17" a="1"/>
  <c r="L405" i="17" s="1"/>
  <c r="M405" i="17" s="1"/>
  <c r="K405" i="17" a="1"/>
  <c r="K405" i="17" s="1"/>
  <c r="J405" i="17" a="1"/>
  <c r="J405" i="17" s="1"/>
  <c r="O405" i="17" s="1"/>
  <c r="I405" i="17"/>
  <c r="N405" i="17" s="1"/>
  <c r="L404" i="17" a="1"/>
  <c r="L404" i="17" s="1"/>
  <c r="M404" i="17" s="1"/>
  <c r="K404" i="17" a="1"/>
  <c r="K404" i="17" s="1"/>
  <c r="J404" i="17" a="1"/>
  <c r="J404" i="17" s="1"/>
  <c r="O404" i="17" s="1"/>
  <c r="I404" i="17"/>
  <c r="N404" i="17" s="1"/>
  <c r="L403" i="17" a="1"/>
  <c r="L403" i="17" s="1"/>
  <c r="M403" i="17" s="1"/>
  <c r="K403" i="17" a="1"/>
  <c r="K403" i="17" s="1"/>
  <c r="J403" i="17" a="1"/>
  <c r="J403" i="17" s="1"/>
  <c r="O403" i="17" s="1"/>
  <c r="I403" i="17"/>
  <c r="N403" i="17" s="1"/>
  <c r="L402" i="17" a="1"/>
  <c r="L402" i="17" s="1"/>
  <c r="M402" i="17" s="1"/>
  <c r="K402" i="17" a="1"/>
  <c r="K402" i="17" s="1"/>
  <c r="J402" i="17" a="1"/>
  <c r="J402" i="17" s="1"/>
  <c r="O402" i="17" s="1"/>
  <c r="I402" i="17"/>
  <c r="N402" i="17" s="1"/>
  <c r="L401" i="17" a="1"/>
  <c r="L401" i="17" s="1"/>
  <c r="M401" i="17" s="1"/>
  <c r="K401" i="17" a="1"/>
  <c r="K401" i="17" s="1"/>
  <c r="J401" i="17" a="1"/>
  <c r="J401" i="17" s="1"/>
  <c r="O401" i="17" s="1"/>
  <c r="I401" i="17"/>
  <c r="N401" i="17" s="1"/>
  <c r="L400" i="17" a="1"/>
  <c r="L400" i="17" s="1"/>
  <c r="M400" i="17" s="1"/>
  <c r="K400" i="17" a="1"/>
  <c r="K400" i="17" s="1"/>
  <c r="J400" i="17" a="1"/>
  <c r="J400" i="17" s="1"/>
  <c r="O400" i="17" s="1"/>
  <c r="I400" i="17"/>
  <c r="N400" i="17" s="1"/>
  <c r="L399" i="17" a="1"/>
  <c r="L399" i="17" s="1"/>
  <c r="M399" i="17" s="1"/>
  <c r="K399" i="17" a="1"/>
  <c r="K399" i="17" s="1"/>
  <c r="J399" i="17" a="1"/>
  <c r="J399" i="17" s="1"/>
  <c r="O399" i="17" s="1"/>
  <c r="I399" i="17"/>
  <c r="N399" i="17" s="1"/>
  <c r="L398" i="17" a="1"/>
  <c r="L398" i="17" s="1"/>
  <c r="M398" i="17" s="1"/>
  <c r="K398" i="17" a="1"/>
  <c r="K398" i="17" s="1"/>
  <c r="J398" i="17" a="1"/>
  <c r="J398" i="17" s="1"/>
  <c r="O398" i="17" s="1"/>
  <c r="I398" i="17"/>
  <c r="N398" i="17" s="1"/>
  <c r="L397" i="17" a="1"/>
  <c r="L397" i="17" s="1"/>
  <c r="M397" i="17" s="1"/>
  <c r="K397" i="17" a="1"/>
  <c r="K397" i="17" s="1"/>
  <c r="J397" i="17" a="1"/>
  <c r="J397" i="17" s="1"/>
  <c r="O397" i="17" s="1"/>
  <c r="I397" i="17"/>
  <c r="N397" i="17" s="1"/>
  <c r="L396" i="17" a="1"/>
  <c r="L396" i="17" s="1"/>
  <c r="M396" i="17" s="1"/>
  <c r="K396" i="17" a="1"/>
  <c r="K396" i="17" s="1"/>
  <c r="J396" i="17" a="1"/>
  <c r="J396" i="17" s="1"/>
  <c r="O396" i="17" s="1"/>
  <c r="I396" i="17"/>
  <c r="N396" i="17" s="1"/>
  <c r="L395" i="17"/>
  <c r="M395" i="17" s="1"/>
  <c r="L395" i="17" a="1"/>
  <c r="K395" i="17" a="1"/>
  <c r="K395" i="17" s="1"/>
  <c r="J395" i="17" a="1"/>
  <c r="J395" i="17" s="1"/>
  <c r="O395" i="17" s="1"/>
  <c r="I395" i="17"/>
  <c r="N395" i="17" s="1"/>
  <c r="L394" i="17" a="1"/>
  <c r="L394" i="17" s="1"/>
  <c r="M394" i="17" s="1"/>
  <c r="K394" i="17" a="1"/>
  <c r="K394" i="17" s="1"/>
  <c r="J394" i="17" a="1"/>
  <c r="J394" i="17" s="1"/>
  <c r="O394" i="17" s="1"/>
  <c r="I394" i="17"/>
  <c r="N394" i="17" s="1"/>
  <c r="L393" i="17" a="1"/>
  <c r="L393" i="17" s="1"/>
  <c r="M393" i="17" s="1"/>
  <c r="K393" i="17"/>
  <c r="K393" i="17" a="1"/>
  <c r="J393" i="17" a="1"/>
  <c r="J393" i="17" s="1"/>
  <c r="O393" i="17" s="1"/>
  <c r="I393" i="17"/>
  <c r="N393" i="17" s="1"/>
  <c r="L392" i="17" a="1"/>
  <c r="L392" i="17" s="1"/>
  <c r="M392" i="17" s="1"/>
  <c r="K392" i="17" a="1"/>
  <c r="K392" i="17" s="1"/>
  <c r="J392" i="17" a="1"/>
  <c r="J392" i="17" s="1"/>
  <c r="O392" i="17" s="1"/>
  <c r="I392" i="17"/>
  <c r="N392" i="17" s="1"/>
  <c r="L391" i="17" a="1"/>
  <c r="L391" i="17" s="1"/>
  <c r="M391" i="17" s="1"/>
  <c r="K391" i="17" a="1"/>
  <c r="K391" i="17" s="1"/>
  <c r="J391" i="17" a="1"/>
  <c r="J391" i="17" s="1"/>
  <c r="O391" i="17" s="1"/>
  <c r="I391" i="17"/>
  <c r="N391" i="17" s="1"/>
  <c r="L390" i="17" a="1"/>
  <c r="L390" i="17" s="1"/>
  <c r="M390" i="17" s="1"/>
  <c r="K390" i="17" a="1"/>
  <c r="K390" i="17" s="1"/>
  <c r="J390" i="17" a="1"/>
  <c r="J390" i="17" s="1"/>
  <c r="O390" i="17" s="1"/>
  <c r="I390" i="17"/>
  <c r="N390" i="17" s="1"/>
  <c r="L389" i="17" a="1"/>
  <c r="L389" i="17" s="1"/>
  <c r="M389" i="17" s="1"/>
  <c r="K389" i="17" a="1"/>
  <c r="K389" i="17" s="1"/>
  <c r="J389" i="17" a="1"/>
  <c r="J389" i="17" s="1"/>
  <c r="O389" i="17" s="1"/>
  <c r="I389" i="17"/>
  <c r="N389" i="17" s="1"/>
  <c r="L388" i="17" a="1"/>
  <c r="L388" i="17" s="1"/>
  <c r="M388" i="17" s="1"/>
  <c r="K388" i="17" a="1"/>
  <c r="K388" i="17" s="1"/>
  <c r="J388" i="17" a="1"/>
  <c r="J388" i="17" s="1"/>
  <c r="O388" i="17" s="1"/>
  <c r="I388" i="17"/>
  <c r="N388" i="17" s="1"/>
  <c r="L387" i="17" a="1"/>
  <c r="L387" i="17" s="1"/>
  <c r="M387" i="17" s="1"/>
  <c r="K387" i="17" a="1"/>
  <c r="K387" i="17" s="1"/>
  <c r="J387" i="17" a="1"/>
  <c r="J387" i="17" s="1"/>
  <c r="O387" i="17" s="1"/>
  <c r="I387" i="17"/>
  <c r="N387" i="17" s="1"/>
  <c r="L386" i="17" a="1"/>
  <c r="L386" i="17" s="1"/>
  <c r="M386" i="17" s="1"/>
  <c r="K386" i="17" a="1"/>
  <c r="K386" i="17" s="1"/>
  <c r="J386" i="17" a="1"/>
  <c r="J386" i="17" s="1"/>
  <c r="O386" i="17" s="1"/>
  <c r="I386" i="17"/>
  <c r="N386" i="17" s="1"/>
  <c r="L385" i="17" a="1"/>
  <c r="L385" i="17" s="1"/>
  <c r="M385" i="17" s="1"/>
  <c r="K385" i="17" a="1"/>
  <c r="K385" i="17" s="1"/>
  <c r="J385" i="17" a="1"/>
  <c r="J385" i="17" s="1"/>
  <c r="O385" i="17" s="1"/>
  <c r="I385" i="17"/>
  <c r="N385" i="17" s="1"/>
  <c r="L384" i="17" a="1"/>
  <c r="L384" i="17" s="1"/>
  <c r="M384" i="17" s="1"/>
  <c r="K384" i="17" a="1"/>
  <c r="K384" i="17" s="1"/>
  <c r="J384" i="17" a="1"/>
  <c r="J384" i="17" s="1"/>
  <c r="O384" i="17" s="1"/>
  <c r="I384" i="17"/>
  <c r="N384" i="17" s="1"/>
  <c r="L383" i="17" a="1"/>
  <c r="L383" i="17" s="1"/>
  <c r="M383" i="17" s="1"/>
  <c r="K383" i="17" a="1"/>
  <c r="K383" i="17" s="1"/>
  <c r="J383" i="17" a="1"/>
  <c r="J383" i="17" s="1"/>
  <c r="O383" i="17" s="1"/>
  <c r="I383" i="17"/>
  <c r="N383" i="17" s="1"/>
  <c r="L382" i="17" a="1"/>
  <c r="L382" i="17" s="1"/>
  <c r="M382" i="17" s="1"/>
  <c r="K382" i="17" a="1"/>
  <c r="K382" i="17" s="1"/>
  <c r="J382" i="17" a="1"/>
  <c r="J382" i="17" s="1"/>
  <c r="O382" i="17" s="1"/>
  <c r="I382" i="17"/>
  <c r="N382" i="17" s="1"/>
  <c r="L381" i="17" a="1"/>
  <c r="L381" i="17" s="1"/>
  <c r="M381" i="17" s="1"/>
  <c r="K381" i="17" a="1"/>
  <c r="K381" i="17" s="1"/>
  <c r="J381" i="17" a="1"/>
  <c r="J381" i="17" s="1"/>
  <c r="O381" i="17" s="1"/>
  <c r="I381" i="17"/>
  <c r="N381" i="17" s="1"/>
  <c r="L380" i="17" a="1"/>
  <c r="L380" i="17" s="1"/>
  <c r="M380" i="17" s="1"/>
  <c r="K380" i="17" a="1"/>
  <c r="K380" i="17" s="1"/>
  <c r="J380" i="17" a="1"/>
  <c r="J380" i="17" s="1"/>
  <c r="O380" i="17" s="1"/>
  <c r="I380" i="17"/>
  <c r="N380" i="17" s="1"/>
  <c r="L379" i="17" a="1"/>
  <c r="L379" i="17" s="1"/>
  <c r="M379" i="17" s="1"/>
  <c r="K379" i="17" a="1"/>
  <c r="K379" i="17" s="1"/>
  <c r="J379" i="17" a="1"/>
  <c r="J379" i="17" s="1"/>
  <c r="O379" i="17" s="1"/>
  <c r="I379" i="17"/>
  <c r="N379" i="17" s="1"/>
  <c r="L378" i="17" a="1"/>
  <c r="L378" i="17" s="1"/>
  <c r="M378" i="17" s="1"/>
  <c r="K378" i="17" a="1"/>
  <c r="K378" i="17" s="1"/>
  <c r="J378" i="17" a="1"/>
  <c r="J378" i="17" s="1"/>
  <c r="O378" i="17" s="1"/>
  <c r="I378" i="17"/>
  <c r="N378" i="17" s="1"/>
  <c r="L377" i="17" a="1"/>
  <c r="L377" i="17" s="1"/>
  <c r="M377" i="17" s="1"/>
  <c r="K377" i="17" a="1"/>
  <c r="K377" i="17" s="1"/>
  <c r="J377" i="17" a="1"/>
  <c r="J377" i="17" s="1"/>
  <c r="O377" i="17" s="1"/>
  <c r="I377" i="17"/>
  <c r="N377" i="17" s="1"/>
  <c r="L376" i="17" a="1"/>
  <c r="L376" i="17" s="1"/>
  <c r="M376" i="17" s="1"/>
  <c r="K376" i="17" a="1"/>
  <c r="K376" i="17" s="1"/>
  <c r="J376" i="17" a="1"/>
  <c r="J376" i="17" s="1"/>
  <c r="O376" i="17" s="1"/>
  <c r="I376" i="17"/>
  <c r="N376" i="17" s="1"/>
  <c r="L375" i="17" a="1"/>
  <c r="L375" i="17" s="1"/>
  <c r="M375" i="17" s="1"/>
  <c r="K375" i="17" a="1"/>
  <c r="K375" i="17" s="1"/>
  <c r="J375" i="17" a="1"/>
  <c r="J375" i="17" s="1"/>
  <c r="O375" i="17" s="1"/>
  <c r="I375" i="17"/>
  <c r="N375" i="17" s="1"/>
  <c r="L374" i="17" a="1"/>
  <c r="L374" i="17" s="1"/>
  <c r="M374" i="17" s="1"/>
  <c r="K374" i="17" a="1"/>
  <c r="K374" i="17" s="1"/>
  <c r="J374" i="17" a="1"/>
  <c r="J374" i="17" s="1"/>
  <c r="O374" i="17" s="1"/>
  <c r="I374" i="17"/>
  <c r="N374" i="17" s="1"/>
  <c r="L373" i="17" a="1"/>
  <c r="L373" i="17" s="1"/>
  <c r="M373" i="17" s="1"/>
  <c r="K373" i="17" a="1"/>
  <c r="K373" i="17" s="1"/>
  <c r="J373" i="17" a="1"/>
  <c r="J373" i="17" s="1"/>
  <c r="O373" i="17" s="1"/>
  <c r="I373" i="17"/>
  <c r="N373" i="17" s="1"/>
  <c r="L372" i="17" a="1"/>
  <c r="L372" i="17" s="1"/>
  <c r="M372" i="17" s="1"/>
  <c r="K372" i="17" a="1"/>
  <c r="K372" i="17" s="1"/>
  <c r="J372" i="17" a="1"/>
  <c r="J372" i="17" s="1"/>
  <c r="O372" i="17" s="1"/>
  <c r="I372" i="17"/>
  <c r="N372" i="17" s="1"/>
  <c r="L371" i="17" a="1"/>
  <c r="L371" i="17" s="1"/>
  <c r="M371" i="17" s="1"/>
  <c r="K371" i="17" a="1"/>
  <c r="K371" i="17" s="1"/>
  <c r="J371" i="17" a="1"/>
  <c r="J371" i="17" s="1"/>
  <c r="O371" i="17" s="1"/>
  <c r="I371" i="17"/>
  <c r="N371" i="17" s="1"/>
  <c r="L370" i="17" a="1"/>
  <c r="L370" i="17" s="1"/>
  <c r="M370" i="17" s="1"/>
  <c r="K370" i="17" a="1"/>
  <c r="K370" i="17" s="1"/>
  <c r="J370" i="17" a="1"/>
  <c r="J370" i="17" s="1"/>
  <c r="O370" i="17" s="1"/>
  <c r="I370" i="17"/>
  <c r="N370" i="17" s="1"/>
  <c r="L369" i="17" a="1"/>
  <c r="L369" i="17" s="1"/>
  <c r="M369" i="17" s="1"/>
  <c r="K369" i="17" a="1"/>
  <c r="K369" i="17" s="1"/>
  <c r="J369" i="17" a="1"/>
  <c r="J369" i="17" s="1"/>
  <c r="O369" i="17" s="1"/>
  <c r="I369" i="17"/>
  <c r="N369" i="17" s="1"/>
  <c r="L368" i="17" a="1"/>
  <c r="L368" i="17" s="1"/>
  <c r="M368" i="17" s="1"/>
  <c r="K368" i="17" a="1"/>
  <c r="K368" i="17" s="1"/>
  <c r="J368" i="17" a="1"/>
  <c r="J368" i="17" s="1"/>
  <c r="O368" i="17" s="1"/>
  <c r="I368" i="17"/>
  <c r="N368" i="17" s="1"/>
  <c r="L367" i="17" a="1"/>
  <c r="L367" i="17" s="1"/>
  <c r="M367" i="17" s="1"/>
  <c r="K367" i="17" a="1"/>
  <c r="K367" i="17" s="1"/>
  <c r="J367" i="17" a="1"/>
  <c r="J367" i="17" s="1"/>
  <c r="O367" i="17" s="1"/>
  <c r="I367" i="17"/>
  <c r="N367" i="17" s="1"/>
  <c r="L366" i="17" a="1"/>
  <c r="L366" i="17" s="1"/>
  <c r="M366" i="17" s="1"/>
  <c r="K366" i="17" a="1"/>
  <c r="K366" i="17" s="1"/>
  <c r="J366" i="17" a="1"/>
  <c r="J366" i="17" s="1"/>
  <c r="O366" i="17" s="1"/>
  <c r="I366" i="17"/>
  <c r="N366" i="17" s="1"/>
  <c r="L365" i="17" a="1"/>
  <c r="L365" i="17" s="1"/>
  <c r="M365" i="17" s="1"/>
  <c r="K365" i="17" a="1"/>
  <c r="K365" i="17" s="1"/>
  <c r="J365" i="17" a="1"/>
  <c r="J365" i="17" s="1"/>
  <c r="O365" i="17" s="1"/>
  <c r="I365" i="17"/>
  <c r="N365" i="17" s="1"/>
  <c r="L364" i="17" a="1"/>
  <c r="L364" i="17" s="1"/>
  <c r="M364" i="17" s="1"/>
  <c r="K364" i="17" a="1"/>
  <c r="K364" i="17" s="1"/>
  <c r="J364" i="17" a="1"/>
  <c r="J364" i="17" s="1"/>
  <c r="O364" i="17" s="1"/>
  <c r="I364" i="17"/>
  <c r="N364" i="17" s="1"/>
  <c r="L363" i="17" a="1"/>
  <c r="L363" i="17" s="1"/>
  <c r="M363" i="17" s="1"/>
  <c r="K363" i="17" a="1"/>
  <c r="K363" i="17" s="1"/>
  <c r="J363" i="17" a="1"/>
  <c r="J363" i="17" s="1"/>
  <c r="O363" i="17" s="1"/>
  <c r="I363" i="17"/>
  <c r="N363" i="17" s="1"/>
  <c r="L362" i="17" a="1"/>
  <c r="L362" i="17" s="1"/>
  <c r="M362" i="17" s="1"/>
  <c r="K362" i="17" a="1"/>
  <c r="K362" i="17" s="1"/>
  <c r="J362" i="17" a="1"/>
  <c r="J362" i="17" s="1"/>
  <c r="O362" i="17" s="1"/>
  <c r="I362" i="17"/>
  <c r="N362" i="17" s="1"/>
  <c r="L361" i="17" a="1"/>
  <c r="L361" i="17" s="1"/>
  <c r="M361" i="17" s="1"/>
  <c r="K361" i="17" a="1"/>
  <c r="K361" i="17" s="1"/>
  <c r="J361" i="17" a="1"/>
  <c r="J361" i="17" s="1"/>
  <c r="O361" i="17" s="1"/>
  <c r="I361" i="17"/>
  <c r="N361" i="17" s="1"/>
  <c r="L360" i="17" a="1"/>
  <c r="L360" i="17" s="1"/>
  <c r="M360" i="17" s="1"/>
  <c r="K360" i="17" a="1"/>
  <c r="K360" i="17" s="1"/>
  <c r="J360" i="17" a="1"/>
  <c r="J360" i="17" s="1"/>
  <c r="O360" i="17" s="1"/>
  <c r="I360" i="17"/>
  <c r="N360" i="17" s="1"/>
  <c r="L359" i="17" a="1"/>
  <c r="L359" i="17" s="1"/>
  <c r="M359" i="17" s="1"/>
  <c r="K359" i="17" a="1"/>
  <c r="K359" i="17" s="1"/>
  <c r="J359" i="17" a="1"/>
  <c r="J359" i="17" s="1"/>
  <c r="O359" i="17" s="1"/>
  <c r="I359" i="17"/>
  <c r="N359" i="17" s="1"/>
  <c r="L358" i="17" a="1"/>
  <c r="L358" i="17" s="1"/>
  <c r="M358" i="17" s="1"/>
  <c r="K358" i="17" a="1"/>
  <c r="K358" i="17" s="1"/>
  <c r="J358" i="17" a="1"/>
  <c r="J358" i="17" s="1"/>
  <c r="O358" i="17" s="1"/>
  <c r="I358" i="17"/>
  <c r="N358" i="17" s="1"/>
  <c r="L357" i="17" a="1"/>
  <c r="L357" i="17" s="1"/>
  <c r="M357" i="17" s="1"/>
  <c r="K357" i="17" a="1"/>
  <c r="K357" i="17" s="1"/>
  <c r="J357" i="17" a="1"/>
  <c r="J357" i="17" s="1"/>
  <c r="O357" i="17" s="1"/>
  <c r="I357" i="17"/>
  <c r="N357" i="17" s="1"/>
  <c r="L356" i="17" a="1"/>
  <c r="L356" i="17" s="1"/>
  <c r="M356" i="17" s="1"/>
  <c r="K356" i="17" a="1"/>
  <c r="K356" i="17" s="1"/>
  <c r="J356" i="17" a="1"/>
  <c r="J356" i="17" s="1"/>
  <c r="O356" i="17" s="1"/>
  <c r="I356" i="17"/>
  <c r="N356" i="17" s="1"/>
  <c r="L355" i="17" a="1"/>
  <c r="L355" i="17" s="1"/>
  <c r="M355" i="17" s="1"/>
  <c r="K355" i="17" a="1"/>
  <c r="K355" i="17" s="1"/>
  <c r="J355" i="17" a="1"/>
  <c r="J355" i="17" s="1"/>
  <c r="O355" i="17" s="1"/>
  <c r="I355" i="17"/>
  <c r="N355" i="17" s="1"/>
  <c r="L354" i="17" a="1"/>
  <c r="L354" i="17" s="1"/>
  <c r="M354" i="17" s="1"/>
  <c r="K354" i="17" a="1"/>
  <c r="K354" i="17" s="1"/>
  <c r="J354" i="17" a="1"/>
  <c r="J354" i="17" s="1"/>
  <c r="O354" i="17" s="1"/>
  <c r="I354" i="17"/>
  <c r="N354" i="17" s="1"/>
  <c r="L353" i="17" a="1"/>
  <c r="L353" i="17" s="1"/>
  <c r="M353" i="17" s="1"/>
  <c r="K353" i="17" a="1"/>
  <c r="K353" i="17" s="1"/>
  <c r="J353" i="17" a="1"/>
  <c r="J353" i="17" s="1"/>
  <c r="O353" i="17" s="1"/>
  <c r="I353" i="17"/>
  <c r="N353" i="17" s="1"/>
  <c r="L352" i="17" a="1"/>
  <c r="L352" i="17" s="1"/>
  <c r="M352" i="17" s="1"/>
  <c r="K352" i="17" a="1"/>
  <c r="K352" i="17" s="1"/>
  <c r="J352" i="17" a="1"/>
  <c r="J352" i="17" s="1"/>
  <c r="O352" i="17" s="1"/>
  <c r="I352" i="17"/>
  <c r="N352" i="17" s="1"/>
  <c r="L351" i="17" a="1"/>
  <c r="L351" i="17" s="1"/>
  <c r="M351" i="17" s="1"/>
  <c r="K351" i="17" a="1"/>
  <c r="K351" i="17" s="1"/>
  <c r="J351" i="17" a="1"/>
  <c r="J351" i="17" s="1"/>
  <c r="O351" i="17" s="1"/>
  <c r="I351" i="17"/>
  <c r="N351" i="17" s="1"/>
  <c r="L350" i="17" a="1"/>
  <c r="L350" i="17" s="1"/>
  <c r="M350" i="17" s="1"/>
  <c r="K350" i="17" a="1"/>
  <c r="K350" i="17" s="1"/>
  <c r="J350" i="17" a="1"/>
  <c r="J350" i="17" s="1"/>
  <c r="O350" i="17" s="1"/>
  <c r="I350" i="17"/>
  <c r="N350" i="17" s="1"/>
  <c r="L349" i="17" a="1"/>
  <c r="L349" i="17" s="1"/>
  <c r="M349" i="17" s="1"/>
  <c r="K349" i="17" a="1"/>
  <c r="K349" i="17" s="1"/>
  <c r="J349" i="17" a="1"/>
  <c r="J349" i="17" s="1"/>
  <c r="O349" i="17" s="1"/>
  <c r="I349" i="17"/>
  <c r="N349" i="17" s="1"/>
  <c r="L348" i="17" a="1"/>
  <c r="L348" i="17" s="1"/>
  <c r="M348" i="17" s="1"/>
  <c r="K348" i="17" a="1"/>
  <c r="K348" i="17" s="1"/>
  <c r="J348" i="17" a="1"/>
  <c r="J348" i="17" s="1"/>
  <c r="O348" i="17" s="1"/>
  <c r="I348" i="17"/>
  <c r="N348" i="17" s="1"/>
  <c r="L347" i="17" a="1"/>
  <c r="L347" i="17" s="1"/>
  <c r="M347" i="17" s="1"/>
  <c r="K347" i="17" a="1"/>
  <c r="K347" i="17" s="1"/>
  <c r="J347" i="17" a="1"/>
  <c r="J347" i="17" s="1"/>
  <c r="O347" i="17" s="1"/>
  <c r="I347" i="17"/>
  <c r="N347" i="17" s="1"/>
  <c r="L346" i="17" a="1"/>
  <c r="L346" i="17" s="1"/>
  <c r="M346" i="17" s="1"/>
  <c r="K346" i="17" a="1"/>
  <c r="K346" i="17" s="1"/>
  <c r="J346" i="17" a="1"/>
  <c r="J346" i="17" s="1"/>
  <c r="O346" i="17" s="1"/>
  <c r="I346" i="17"/>
  <c r="N346" i="17" s="1"/>
  <c r="L345" i="17" a="1"/>
  <c r="L345" i="17" s="1"/>
  <c r="M345" i="17" s="1"/>
  <c r="K345" i="17" a="1"/>
  <c r="K345" i="17" s="1"/>
  <c r="J345" i="17" a="1"/>
  <c r="J345" i="17" s="1"/>
  <c r="O345" i="17" s="1"/>
  <c r="I345" i="17"/>
  <c r="N345" i="17" s="1"/>
  <c r="L344" i="17" a="1"/>
  <c r="L344" i="17" s="1"/>
  <c r="M344" i="17" s="1"/>
  <c r="K344" i="17" a="1"/>
  <c r="K344" i="17" s="1"/>
  <c r="J344" i="17" a="1"/>
  <c r="J344" i="17" s="1"/>
  <c r="O344" i="17" s="1"/>
  <c r="I344" i="17"/>
  <c r="N344" i="17" s="1"/>
  <c r="L343" i="17" a="1"/>
  <c r="L343" i="17" s="1"/>
  <c r="M343" i="17" s="1"/>
  <c r="K343" i="17" a="1"/>
  <c r="K343" i="17" s="1"/>
  <c r="J343" i="17" a="1"/>
  <c r="J343" i="17" s="1"/>
  <c r="O343" i="17" s="1"/>
  <c r="I343" i="17"/>
  <c r="N343" i="17" s="1"/>
  <c r="L342" i="17" a="1"/>
  <c r="L342" i="17" s="1"/>
  <c r="M342" i="17" s="1"/>
  <c r="K342" i="17" a="1"/>
  <c r="K342" i="17" s="1"/>
  <c r="J342" i="17" a="1"/>
  <c r="J342" i="17" s="1"/>
  <c r="O342" i="17" s="1"/>
  <c r="I342" i="17"/>
  <c r="N342" i="17" s="1"/>
  <c r="L341" i="17" a="1"/>
  <c r="L341" i="17" s="1"/>
  <c r="M341" i="17" s="1"/>
  <c r="K341" i="17" a="1"/>
  <c r="K341" i="17" s="1"/>
  <c r="J341" i="17" a="1"/>
  <c r="J341" i="17" s="1"/>
  <c r="O341" i="17" s="1"/>
  <c r="I341" i="17"/>
  <c r="N341" i="17" s="1"/>
  <c r="L340" i="17" a="1"/>
  <c r="L340" i="17" s="1"/>
  <c r="M340" i="17" s="1"/>
  <c r="K340" i="17" a="1"/>
  <c r="K340" i="17" s="1"/>
  <c r="J340" i="17" a="1"/>
  <c r="J340" i="17" s="1"/>
  <c r="O340" i="17" s="1"/>
  <c r="I340" i="17"/>
  <c r="N340" i="17" s="1"/>
  <c r="L339" i="17" a="1"/>
  <c r="L339" i="17" s="1"/>
  <c r="M339" i="17" s="1"/>
  <c r="K339" i="17" a="1"/>
  <c r="K339" i="17" s="1"/>
  <c r="J339" i="17" a="1"/>
  <c r="J339" i="17" s="1"/>
  <c r="O339" i="17" s="1"/>
  <c r="I339" i="17"/>
  <c r="N339" i="17" s="1"/>
  <c r="L338" i="17" a="1"/>
  <c r="L338" i="17" s="1"/>
  <c r="M338" i="17" s="1"/>
  <c r="K338" i="17" a="1"/>
  <c r="K338" i="17" s="1"/>
  <c r="J338" i="17" a="1"/>
  <c r="J338" i="17" s="1"/>
  <c r="O338" i="17" s="1"/>
  <c r="I338" i="17"/>
  <c r="N338" i="17" s="1"/>
  <c r="L337" i="17" a="1"/>
  <c r="L337" i="17" s="1"/>
  <c r="M337" i="17" s="1"/>
  <c r="K337" i="17" a="1"/>
  <c r="K337" i="17" s="1"/>
  <c r="J337" i="17" a="1"/>
  <c r="J337" i="17" s="1"/>
  <c r="O337" i="17" s="1"/>
  <c r="I337" i="17"/>
  <c r="N337" i="17" s="1"/>
  <c r="L336" i="17" a="1"/>
  <c r="L336" i="17" s="1"/>
  <c r="M336" i="17" s="1"/>
  <c r="K336" i="17"/>
  <c r="K336" i="17" a="1"/>
  <c r="J336" i="17" a="1"/>
  <c r="J336" i="17" s="1"/>
  <c r="O336" i="17" s="1"/>
  <c r="I336" i="17"/>
  <c r="N336" i="17" s="1"/>
  <c r="L335" i="17" a="1"/>
  <c r="L335" i="17" s="1"/>
  <c r="M335" i="17" s="1"/>
  <c r="K335" i="17" a="1"/>
  <c r="K335" i="17" s="1"/>
  <c r="J335" i="17" a="1"/>
  <c r="J335" i="17" s="1"/>
  <c r="O335" i="17" s="1"/>
  <c r="I335" i="17"/>
  <c r="N335" i="17" s="1"/>
  <c r="L334" i="17" a="1"/>
  <c r="L334" i="17" s="1"/>
  <c r="M334" i="17" s="1"/>
  <c r="K334" i="17" a="1"/>
  <c r="K334" i="17" s="1"/>
  <c r="J334" i="17" a="1"/>
  <c r="J334" i="17" s="1"/>
  <c r="O334" i="17" s="1"/>
  <c r="I334" i="17"/>
  <c r="N334" i="17" s="1"/>
  <c r="L333" i="17" a="1"/>
  <c r="L333" i="17" s="1"/>
  <c r="M333" i="17" s="1"/>
  <c r="K333" i="17" a="1"/>
  <c r="K333" i="17" s="1"/>
  <c r="J333" i="17" a="1"/>
  <c r="J333" i="17" s="1"/>
  <c r="O333" i="17" s="1"/>
  <c r="I333" i="17"/>
  <c r="N333" i="17" s="1"/>
  <c r="L332" i="17" a="1"/>
  <c r="L332" i="17" s="1"/>
  <c r="M332" i="17" s="1"/>
  <c r="K332" i="17" a="1"/>
  <c r="K332" i="17" s="1"/>
  <c r="J332" i="17" a="1"/>
  <c r="J332" i="17" s="1"/>
  <c r="O332" i="17" s="1"/>
  <c r="I332" i="17"/>
  <c r="N332" i="17" s="1"/>
  <c r="L331" i="17" a="1"/>
  <c r="L331" i="17" s="1"/>
  <c r="M331" i="17" s="1"/>
  <c r="K331" i="17" a="1"/>
  <c r="K331" i="17" s="1"/>
  <c r="J331" i="17" a="1"/>
  <c r="J331" i="17" s="1"/>
  <c r="O331" i="17" s="1"/>
  <c r="I331" i="17"/>
  <c r="N331" i="17" s="1"/>
  <c r="L330" i="17" a="1"/>
  <c r="L330" i="17" s="1"/>
  <c r="M330" i="17" s="1"/>
  <c r="K330" i="17" a="1"/>
  <c r="K330" i="17" s="1"/>
  <c r="J330" i="17" a="1"/>
  <c r="J330" i="17" s="1"/>
  <c r="O330" i="17" s="1"/>
  <c r="I330" i="17"/>
  <c r="N330" i="17" s="1"/>
  <c r="L329" i="17" a="1"/>
  <c r="L329" i="17" s="1"/>
  <c r="M329" i="17" s="1"/>
  <c r="K329" i="17" a="1"/>
  <c r="K329" i="17" s="1"/>
  <c r="J329" i="17" a="1"/>
  <c r="J329" i="17" s="1"/>
  <c r="O329" i="17" s="1"/>
  <c r="I329" i="17"/>
  <c r="N329" i="17" s="1"/>
  <c r="L328" i="17" a="1"/>
  <c r="L328" i="17" s="1"/>
  <c r="M328" i="17" s="1"/>
  <c r="K328" i="17" a="1"/>
  <c r="K328" i="17" s="1"/>
  <c r="J328" i="17" a="1"/>
  <c r="J328" i="17" s="1"/>
  <c r="O328" i="17" s="1"/>
  <c r="I328" i="17"/>
  <c r="N328" i="17" s="1"/>
  <c r="L327" i="17" a="1"/>
  <c r="L327" i="17" s="1"/>
  <c r="M327" i="17" s="1"/>
  <c r="K327" i="17" a="1"/>
  <c r="K327" i="17" s="1"/>
  <c r="J327" i="17" a="1"/>
  <c r="J327" i="17" s="1"/>
  <c r="O327" i="17" s="1"/>
  <c r="I327" i="17"/>
  <c r="N327" i="17" s="1"/>
  <c r="L326" i="17" a="1"/>
  <c r="L326" i="17" s="1"/>
  <c r="M326" i="17" s="1"/>
  <c r="K326" i="17" a="1"/>
  <c r="K326" i="17" s="1"/>
  <c r="J326" i="17" a="1"/>
  <c r="J326" i="17" s="1"/>
  <c r="O326" i="17" s="1"/>
  <c r="I326" i="17"/>
  <c r="N326" i="17" s="1"/>
  <c r="L325" i="17" a="1"/>
  <c r="L325" i="17" s="1"/>
  <c r="M325" i="17" s="1"/>
  <c r="K325" i="17" a="1"/>
  <c r="K325" i="17" s="1"/>
  <c r="J325" i="17" a="1"/>
  <c r="J325" i="17" s="1"/>
  <c r="O325" i="17" s="1"/>
  <c r="I325" i="17"/>
  <c r="N325" i="17" s="1"/>
  <c r="L324" i="17" a="1"/>
  <c r="L324" i="17" s="1"/>
  <c r="M324" i="17" s="1"/>
  <c r="K324" i="17" a="1"/>
  <c r="K324" i="17" s="1"/>
  <c r="J324" i="17" a="1"/>
  <c r="J324" i="17" s="1"/>
  <c r="O324" i="17" s="1"/>
  <c r="I324" i="17"/>
  <c r="N324" i="17" s="1"/>
  <c r="L323" i="17" a="1"/>
  <c r="L323" i="17" s="1"/>
  <c r="M323" i="17" s="1"/>
  <c r="K323" i="17" a="1"/>
  <c r="K323" i="17" s="1"/>
  <c r="J323" i="17" a="1"/>
  <c r="J323" i="17" s="1"/>
  <c r="O323" i="17" s="1"/>
  <c r="I323" i="17"/>
  <c r="N323" i="17" s="1"/>
  <c r="L322" i="17" a="1"/>
  <c r="L322" i="17" s="1"/>
  <c r="M322" i="17" s="1"/>
  <c r="K322" i="17" a="1"/>
  <c r="K322" i="17" s="1"/>
  <c r="J322" i="17" a="1"/>
  <c r="J322" i="17" s="1"/>
  <c r="O322" i="17" s="1"/>
  <c r="I322" i="17"/>
  <c r="N322" i="17" s="1"/>
  <c r="L321" i="17" a="1"/>
  <c r="L321" i="17" s="1"/>
  <c r="M321" i="17" s="1"/>
  <c r="K321" i="17" a="1"/>
  <c r="K321" i="17" s="1"/>
  <c r="J321" i="17" a="1"/>
  <c r="J321" i="17" s="1"/>
  <c r="O321" i="17" s="1"/>
  <c r="I321" i="17"/>
  <c r="N321" i="17" s="1"/>
  <c r="L320" i="17" a="1"/>
  <c r="L320" i="17" s="1"/>
  <c r="M320" i="17" s="1"/>
  <c r="K320" i="17" a="1"/>
  <c r="K320" i="17" s="1"/>
  <c r="J320" i="17" a="1"/>
  <c r="J320" i="17" s="1"/>
  <c r="O320" i="17" s="1"/>
  <c r="I320" i="17"/>
  <c r="N320" i="17" s="1"/>
  <c r="L319" i="17" a="1"/>
  <c r="L319" i="17" s="1"/>
  <c r="M319" i="17" s="1"/>
  <c r="K319" i="17" a="1"/>
  <c r="K319" i="17" s="1"/>
  <c r="J319" i="17" a="1"/>
  <c r="J319" i="17" s="1"/>
  <c r="O319" i="17" s="1"/>
  <c r="I319" i="17"/>
  <c r="N319" i="17" s="1"/>
  <c r="L318" i="17" a="1"/>
  <c r="L318" i="17" s="1"/>
  <c r="M318" i="17" s="1"/>
  <c r="K318" i="17" a="1"/>
  <c r="K318" i="17" s="1"/>
  <c r="J318" i="17" a="1"/>
  <c r="J318" i="17" s="1"/>
  <c r="O318" i="17" s="1"/>
  <c r="I318" i="17"/>
  <c r="N318" i="17" s="1"/>
  <c r="L317" i="17" a="1"/>
  <c r="L317" i="17" s="1"/>
  <c r="M317" i="17" s="1"/>
  <c r="K317" i="17" a="1"/>
  <c r="K317" i="17" s="1"/>
  <c r="J317" i="17" a="1"/>
  <c r="J317" i="17" s="1"/>
  <c r="O317" i="17" s="1"/>
  <c r="I317" i="17"/>
  <c r="N317" i="17" s="1"/>
  <c r="L316" i="17" a="1"/>
  <c r="L316" i="17" s="1"/>
  <c r="M316" i="17" s="1"/>
  <c r="K316" i="17" a="1"/>
  <c r="K316" i="17" s="1"/>
  <c r="J316" i="17" a="1"/>
  <c r="J316" i="17" s="1"/>
  <c r="O316" i="17" s="1"/>
  <c r="I316" i="17"/>
  <c r="N316" i="17" s="1"/>
  <c r="L315" i="17" a="1"/>
  <c r="L315" i="17" s="1"/>
  <c r="M315" i="17" s="1"/>
  <c r="K315" i="17" a="1"/>
  <c r="K315" i="17" s="1"/>
  <c r="J315" i="17" a="1"/>
  <c r="J315" i="17" s="1"/>
  <c r="O315" i="17" s="1"/>
  <c r="I315" i="17"/>
  <c r="N315" i="17" s="1"/>
  <c r="L314" i="17" a="1"/>
  <c r="L314" i="17" s="1"/>
  <c r="M314" i="17" s="1"/>
  <c r="K314" i="17" a="1"/>
  <c r="K314" i="17" s="1"/>
  <c r="J314" i="17" a="1"/>
  <c r="J314" i="17" s="1"/>
  <c r="O314" i="17" s="1"/>
  <c r="I314" i="17"/>
  <c r="N314" i="17" s="1"/>
  <c r="L313" i="17" a="1"/>
  <c r="L313" i="17" s="1"/>
  <c r="M313" i="17" s="1"/>
  <c r="K313" i="17" a="1"/>
  <c r="K313" i="17" s="1"/>
  <c r="J313" i="17" a="1"/>
  <c r="J313" i="17" s="1"/>
  <c r="O313" i="17" s="1"/>
  <c r="I313" i="17"/>
  <c r="N313" i="17" s="1"/>
  <c r="L312" i="17" a="1"/>
  <c r="L312" i="17" s="1"/>
  <c r="M312" i="17" s="1"/>
  <c r="K312" i="17" a="1"/>
  <c r="K312" i="17" s="1"/>
  <c r="J312" i="17" a="1"/>
  <c r="J312" i="17" s="1"/>
  <c r="O312" i="17" s="1"/>
  <c r="I312" i="17"/>
  <c r="N312" i="17" s="1"/>
  <c r="L311" i="17" a="1"/>
  <c r="L311" i="17" s="1"/>
  <c r="M311" i="17" s="1"/>
  <c r="K311" i="17" a="1"/>
  <c r="K311" i="17" s="1"/>
  <c r="J311" i="17" a="1"/>
  <c r="J311" i="17" s="1"/>
  <c r="O311" i="17" s="1"/>
  <c r="I311" i="17"/>
  <c r="N311" i="17" s="1"/>
  <c r="L310" i="17"/>
  <c r="M310" i="17" s="1"/>
  <c r="L310" i="17" a="1"/>
  <c r="K310" i="17" a="1"/>
  <c r="K310" i="17" s="1"/>
  <c r="J310" i="17" a="1"/>
  <c r="J310" i="17" s="1"/>
  <c r="O310" i="17" s="1"/>
  <c r="I310" i="17"/>
  <c r="N310" i="17" s="1"/>
  <c r="L309" i="17" a="1"/>
  <c r="L309" i="17" s="1"/>
  <c r="M309" i="17" s="1"/>
  <c r="K309" i="17" a="1"/>
  <c r="K309" i="17" s="1"/>
  <c r="J309" i="17" a="1"/>
  <c r="J309" i="17" s="1"/>
  <c r="O309" i="17" s="1"/>
  <c r="I309" i="17"/>
  <c r="N309" i="17" s="1"/>
  <c r="L308" i="17" a="1"/>
  <c r="L308" i="17" s="1"/>
  <c r="M308" i="17" s="1"/>
  <c r="K308" i="17" a="1"/>
  <c r="K308" i="17" s="1"/>
  <c r="J308" i="17" a="1"/>
  <c r="J308" i="17" s="1"/>
  <c r="O308" i="17" s="1"/>
  <c r="I308" i="17"/>
  <c r="N308" i="17" s="1"/>
  <c r="L307" i="17" a="1"/>
  <c r="L307" i="17" s="1"/>
  <c r="M307" i="17" s="1"/>
  <c r="K307" i="17" a="1"/>
  <c r="K307" i="17" s="1"/>
  <c r="J307" i="17" a="1"/>
  <c r="J307" i="17" s="1"/>
  <c r="O307" i="17" s="1"/>
  <c r="I307" i="17"/>
  <c r="N307" i="17" s="1"/>
  <c r="L306" i="17" a="1"/>
  <c r="L306" i="17" s="1"/>
  <c r="M306" i="17" s="1"/>
  <c r="K306" i="17" a="1"/>
  <c r="K306" i="17" s="1"/>
  <c r="J306" i="17" a="1"/>
  <c r="J306" i="17" s="1"/>
  <c r="O306" i="17" s="1"/>
  <c r="I306" i="17"/>
  <c r="N306" i="17" s="1"/>
  <c r="L305" i="17" a="1"/>
  <c r="L305" i="17" s="1"/>
  <c r="M305" i="17" s="1"/>
  <c r="K305" i="17" a="1"/>
  <c r="K305" i="17" s="1"/>
  <c r="J305" i="17" a="1"/>
  <c r="J305" i="17" s="1"/>
  <c r="O305" i="17" s="1"/>
  <c r="I305" i="17"/>
  <c r="N305" i="17" s="1"/>
  <c r="L304" i="17" a="1"/>
  <c r="L304" i="17" s="1"/>
  <c r="M304" i="17" s="1"/>
  <c r="K304" i="17" a="1"/>
  <c r="K304" i="17" s="1"/>
  <c r="J304" i="17" a="1"/>
  <c r="J304" i="17" s="1"/>
  <c r="O304" i="17" s="1"/>
  <c r="I304" i="17"/>
  <c r="N304" i="17" s="1"/>
  <c r="L303" i="17" a="1"/>
  <c r="L303" i="17" s="1"/>
  <c r="M303" i="17" s="1"/>
  <c r="K303" i="17" a="1"/>
  <c r="K303" i="17" s="1"/>
  <c r="J303" i="17" a="1"/>
  <c r="J303" i="17" s="1"/>
  <c r="O303" i="17" s="1"/>
  <c r="I303" i="17"/>
  <c r="N303" i="17" s="1"/>
  <c r="L302" i="17" a="1"/>
  <c r="L302" i="17" s="1"/>
  <c r="M302" i="17" s="1"/>
  <c r="K302" i="17" a="1"/>
  <c r="K302" i="17" s="1"/>
  <c r="J302" i="17" a="1"/>
  <c r="J302" i="17" s="1"/>
  <c r="O302" i="17" s="1"/>
  <c r="I302" i="17"/>
  <c r="N302" i="17" s="1"/>
  <c r="L301" i="17" a="1"/>
  <c r="L301" i="17" s="1"/>
  <c r="M301" i="17" s="1"/>
  <c r="K301" i="17" a="1"/>
  <c r="K301" i="17" s="1"/>
  <c r="J301" i="17" a="1"/>
  <c r="J301" i="17" s="1"/>
  <c r="O301" i="17" s="1"/>
  <c r="I301" i="17"/>
  <c r="N301" i="17" s="1"/>
  <c r="L300" i="17" a="1"/>
  <c r="L300" i="17" s="1"/>
  <c r="M300" i="17" s="1"/>
  <c r="K300" i="17" a="1"/>
  <c r="K300" i="17" s="1"/>
  <c r="J300" i="17" a="1"/>
  <c r="J300" i="17" s="1"/>
  <c r="O300" i="17" s="1"/>
  <c r="I300" i="17"/>
  <c r="N300" i="17" s="1"/>
  <c r="L299" i="17" a="1"/>
  <c r="L299" i="17" s="1"/>
  <c r="M299" i="17" s="1"/>
  <c r="K299" i="17" a="1"/>
  <c r="K299" i="17" s="1"/>
  <c r="J299" i="17" a="1"/>
  <c r="J299" i="17" s="1"/>
  <c r="O299" i="17" s="1"/>
  <c r="I299" i="17"/>
  <c r="N299" i="17" s="1"/>
  <c r="L298" i="17" a="1"/>
  <c r="L298" i="17" s="1"/>
  <c r="M298" i="17" s="1"/>
  <c r="K298" i="17" a="1"/>
  <c r="K298" i="17" s="1"/>
  <c r="J298" i="17" a="1"/>
  <c r="J298" i="17" s="1"/>
  <c r="O298" i="17" s="1"/>
  <c r="I298" i="17"/>
  <c r="N298" i="17" s="1"/>
  <c r="L297" i="17" a="1"/>
  <c r="L297" i="17" s="1"/>
  <c r="M297" i="17" s="1"/>
  <c r="K297" i="17" a="1"/>
  <c r="K297" i="17" s="1"/>
  <c r="J297" i="17" a="1"/>
  <c r="J297" i="17" s="1"/>
  <c r="O297" i="17" s="1"/>
  <c r="I297" i="17"/>
  <c r="N297" i="17" s="1"/>
  <c r="L296" i="17" a="1"/>
  <c r="L296" i="17" s="1"/>
  <c r="M296" i="17" s="1"/>
  <c r="K296" i="17" a="1"/>
  <c r="K296" i="17" s="1"/>
  <c r="J296" i="17" a="1"/>
  <c r="J296" i="17" s="1"/>
  <c r="O296" i="17" s="1"/>
  <c r="I296" i="17"/>
  <c r="N296" i="17" s="1"/>
  <c r="L295" i="17" a="1"/>
  <c r="L295" i="17" s="1"/>
  <c r="M295" i="17" s="1"/>
  <c r="K295" i="17" a="1"/>
  <c r="K295" i="17" s="1"/>
  <c r="J295" i="17" a="1"/>
  <c r="J295" i="17" s="1"/>
  <c r="O295" i="17" s="1"/>
  <c r="I295" i="17"/>
  <c r="N295" i="17" s="1"/>
  <c r="L294" i="17" a="1"/>
  <c r="L294" i="17" s="1"/>
  <c r="M294" i="17" s="1"/>
  <c r="K294" i="17" a="1"/>
  <c r="K294" i="17" s="1"/>
  <c r="J294" i="17" a="1"/>
  <c r="J294" i="17" s="1"/>
  <c r="O294" i="17" s="1"/>
  <c r="I294" i="17"/>
  <c r="N294" i="17" s="1"/>
  <c r="L293" i="17" a="1"/>
  <c r="L293" i="17" s="1"/>
  <c r="M293" i="17" s="1"/>
  <c r="K293" i="17" a="1"/>
  <c r="K293" i="17" s="1"/>
  <c r="J293" i="17" a="1"/>
  <c r="J293" i="17" s="1"/>
  <c r="O293" i="17" s="1"/>
  <c r="I293" i="17"/>
  <c r="N293" i="17" s="1"/>
  <c r="L292" i="17" a="1"/>
  <c r="L292" i="17" s="1"/>
  <c r="M292" i="17" s="1"/>
  <c r="K292" i="17" a="1"/>
  <c r="K292" i="17" s="1"/>
  <c r="J292" i="17" a="1"/>
  <c r="J292" i="17" s="1"/>
  <c r="O292" i="17" s="1"/>
  <c r="I292" i="17"/>
  <c r="N292" i="17" s="1"/>
  <c r="L291" i="17" a="1"/>
  <c r="L291" i="17" s="1"/>
  <c r="M291" i="17" s="1"/>
  <c r="K291" i="17" a="1"/>
  <c r="K291" i="17" s="1"/>
  <c r="J291" i="17" a="1"/>
  <c r="J291" i="17" s="1"/>
  <c r="O291" i="17" s="1"/>
  <c r="I291" i="17"/>
  <c r="N291" i="17" s="1"/>
  <c r="L290" i="17" a="1"/>
  <c r="L290" i="17" s="1"/>
  <c r="M290" i="17" s="1"/>
  <c r="K290" i="17" a="1"/>
  <c r="K290" i="17" s="1"/>
  <c r="J290" i="17" a="1"/>
  <c r="J290" i="17" s="1"/>
  <c r="O290" i="17" s="1"/>
  <c r="I290" i="17"/>
  <c r="N290" i="17" s="1"/>
  <c r="L289" i="17" a="1"/>
  <c r="L289" i="17" s="1"/>
  <c r="M289" i="17" s="1"/>
  <c r="K289" i="17" a="1"/>
  <c r="K289" i="17" s="1"/>
  <c r="J289" i="17" a="1"/>
  <c r="J289" i="17" s="1"/>
  <c r="O289" i="17" s="1"/>
  <c r="I289" i="17"/>
  <c r="N289" i="17" s="1"/>
  <c r="L288" i="17" a="1"/>
  <c r="L288" i="17" s="1"/>
  <c r="M288" i="17" s="1"/>
  <c r="K288" i="17" a="1"/>
  <c r="K288" i="17" s="1"/>
  <c r="J288" i="17" a="1"/>
  <c r="J288" i="17" s="1"/>
  <c r="O288" i="17" s="1"/>
  <c r="I288" i="17"/>
  <c r="N288" i="17" s="1"/>
  <c r="L287" i="17" a="1"/>
  <c r="L287" i="17" s="1"/>
  <c r="M287" i="17" s="1"/>
  <c r="K287" i="17" a="1"/>
  <c r="K287" i="17" s="1"/>
  <c r="J287" i="17" a="1"/>
  <c r="J287" i="17" s="1"/>
  <c r="O287" i="17" s="1"/>
  <c r="I287" i="17"/>
  <c r="N287" i="17" s="1"/>
  <c r="L286" i="17" a="1"/>
  <c r="L286" i="17" s="1"/>
  <c r="M286" i="17" s="1"/>
  <c r="K286" i="17" a="1"/>
  <c r="K286" i="17" s="1"/>
  <c r="J286" i="17" a="1"/>
  <c r="J286" i="17" s="1"/>
  <c r="O286" i="17" s="1"/>
  <c r="I286" i="17"/>
  <c r="N286" i="17" s="1"/>
  <c r="L285" i="17" a="1"/>
  <c r="L285" i="17" s="1"/>
  <c r="M285" i="17" s="1"/>
  <c r="K285" i="17" a="1"/>
  <c r="K285" i="17" s="1"/>
  <c r="J285" i="17" a="1"/>
  <c r="J285" i="17" s="1"/>
  <c r="O285" i="17" s="1"/>
  <c r="I285" i="17"/>
  <c r="N285" i="17" s="1"/>
  <c r="L284" i="17" a="1"/>
  <c r="L284" i="17" s="1"/>
  <c r="M284" i="17" s="1"/>
  <c r="K284" i="17" a="1"/>
  <c r="K284" i="17" s="1"/>
  <c r="J284" i="17" a="1"/>
  <c r="J284" i="17" s="1"/>
  <c r="O284" i="17" s="1"/>
  <c r="I284" i="17"/>
  <c r="N284" i="17" s="1"/>
  <c r="L283" i="17" a="1"/>
  <c r="L283" i="17" s="1"/>
  <c r="M283" i="17" s="1"/>
  <c r="K283" i="17" a="1"/>
  <c r="K283" i="17" s="1"/>
  <c r="J283" i="17" a="1"/>
  <c r="J283" i="17" s="1"/>
  <c r="O283" i="17" s="1"/>
  <c r="I283" i="17"/>
  <c r="N283" i="17" s="1"/>
  <c r="L282" i="17" a="1"/>
  <c r="L282" i="17" s="1"/>
  <c r="M282" i="17" s="1"/>
  <c r="K282" i="17" a="1"/>
  <c r="K282" i="17" s="1"/>
  <c r="J282" i="17" a="1"/>
  <c r="J282" i="17" s="1"/>
  <c r="O282" i="17" s="1"/>
  <c r="I282" i="17"/>
  <c r="N282" i="17" s="1"/>
  <c r="L281" i="17" a="1"/>
  <c r="L281" i="17" s="1"/>
  <c r="M281" i="17" s="1"/>
  <c r="K281" i="17" a="1"/>
  <c r="K281" i="17" s="1"/>
  <c r="J281" i="17" a="1"/>
  <c r="J281" i="17" s="1"/>
  <c r="O281" i="17" s="1"/>
  <c r="I281" i="17"/>
  <c r="N281" i="17" s="1"/>
  <c r="L280" i="17" a="1"/>
  <c r="L280" i="17" s="1"/>
  <c r="M280" i="17" s="1"/>
  <c r="K280" i="17" a="1"/>
  <c r="K280" i="17" s="1"/>
  <c r="J280" i="17" a="1"/>
  <c r="J280" i="17" s="1"/>
  <c r="O280" i="17" s="1"/>
  <c r="I280" i="17"/>
  <c r="N280" i="17" s="1"/>
  <c r="L279" i="17" a="1"/>
  <c r="L279" i="17" s="1"/>
  <c r="M279" i="17" s="1"/>
  <c r="K279" i="17" a="1"/>
  <c r="K279" i="17" s="1"/>
  <c r="J279" i="17" a="1"/>
  <c r="J279" i="17" s="1"/>
  <c r="O279" i="17" s="1"/>
  <c r="I279" i="17"/>
  <c r="N279" i="17" s="1"/>
  <c r="L278" i="17" a="1"/>
  <c r="L278" i="17" s="1"/>
  <c r="M278" i="17" s="1"/>
  <c r="K278" i="17" a="1"/>
  <c r="K278" i="17" s="1"/>
  <c r="J278" i="17" a="1"/>
  <c r="J278" i="17" s="1"/>
  <c r="O278" i="17" s="1"/>
  <c r="I278" i="17"/>
  <c r="N278" i="17" s="1"/>
  <c r="L277" i="17" a="1"/>
  <c r="L277" i="17" s="1"/>
  <c r="M277" i="17" s="1"/>
  <c r="K277" i="17" a="1"/>
  <c r="K277" i="17" s="1"/>
  <c r="J277" i="17" a="1"/>
  <c r="J277" i="17" s="1"/>
  <c r="O277" i="17" s="1"/>
  <c r="I277" i="17"/>
  <c r="N277" i="17" s="1"/>
  <c r="L276" i="17" a="1"/>
  <c r="L276" i="17" s="1"/>
  <c r="M276" i="17" s="1"/>
  <c r="K276" i="17" a="1"/>
  <c r="K276" i="17" s="1"/>
  <c r="J276" i="17" a="1"/>
  <c r="J276" i="17" s="1"/>
  <c r="O276" i="17" s="1"/>
  <c r="I276" i="17"/>
  <c r="N276" i="17" s="1"/>
  <c r="L275" i="17" a="1"/>
  <c r="L275" i="17" s="1"/>
  <c r="M275" i="17" s="1"/>
  <c r="K275" i="17" a="1"/>
  <c r="K275" i="17" s="1"/>
  <c r="J275" i="17" a="1"/>
  <c r="J275" i="17" s="1"/>
  <c r="O275" i="17" s="1"/>
  <c r="I275" i="17"/>
  <c r="N275" i="17" s="1"/>
  <c r="L274" i="17" a="1"/>
  <c r="L274" i="17" s="1"/>
  <c r="M274" i="17" s="1"/>
  <c r="K274" i="17" a="1"/>
  <c r="K274" i="17" s="1"/>
  <c r="J274" i="17" a="1"/>
  <c r="J274" i="17" s="1"/>
  <c r="O274" i="17" s="1"/>
  <c r="I274" i="17"/>
  <c r="N274" i="17" s="1"/>
  <c r="L273" i="17" a="1"/>
  <c r="L273" i="17" s="1"/>
  <c r="M273" i="17" s="1"/>
  <c r="K273" i="17" a="1"/>
  <c r="K273" i="17" s="1"/>
  <c r="J273" i="17" a="1"/>
  <c r="J273" i="17" s="1"/>
  <c r="O273" i="17" s="1"/>
  <c r="I273" i="17"/>
  <c r="N273" i="17" s="1"/>
  <c r="L272" i="17" a="1"/>
  <c r="L272" i="17" s="1"/>
  <c r="M272" i="17" s="1"/>
  <c r="K272" i="17" a="1"/>
  <c r="K272" i="17" s="1"/>
  <c r="J272" i="17" a="1"/>
  <c r="J272" i="17" s="1"/>
  <c r="O272" i="17" s="1"/>
  <c r="I272" i="17"/>
  <c r="N272" i="17" s="1"/>
  <c r="L271" i="17" a="1"/>
  <c r="L271" i="17" s="1"/>
  <c r="M271" i="17" s="1"/>
  <c r="K271" i="17" a="1"/>
  <c r="K271" i="17" s="1"/>
  <c r="J271" i="17" a="1"/>
  <c r="J271" i="17" s="1"/>
  <c r="O271" i="17" s="1"/>
  <c r="I271" i="17"/>
  <c r="N271" i="17" s="1"/>
  <c r="L270" i="17" a="1"/>
  <c r="L270" i="17" s="1"/>
  <c r="M270" i="17" s="1"/>
  <c r="K270" i="17" a="1"/>
  <c r="K270" i="17" s="1"/>
  <c r="J270" i="17" a="1"/>
  <c r="J270" i="17" s="1"/>
  <c r="O270" i="17" s="1"/>
  <c r="I270" i="17"/>
  <c r="N270" i="17" s="1"/>
  <c r="L269" i="17" a="1"/>
  <c r="L269" i="17" s="1"/>
  <c r="M269" i="17" s="1"/>
  <c r="K269" i="17" a="1"/>
  <c r="K269" i="17" s="1"/>
  <c r="J269" i="17" a="1"/>
  <c r="J269" i="17" s="1"/>
  <c r="O269" i="17" s="1"/>
  <c r="I269" i="17"/>
  <c r="N269" i="17" s="1"/>
  <c r="L268" i="17" a="1"/>
  <c r="L268" i="17" s="1"/>
  <c r="M268" i="17" s="1"/>
  <c r="K268" i="17" a="1"/>
  <c r="K268" i="17" s="1"/>
  <c r="J268" i="17" a="1"/>
  <c r="J268" i="17" s="1"/>
  <c r="O268" i="17" s="1"/>
  <c r="I268" i="17"/>
  <c r="N268" i="17" s="1"/>
  <c r="L267" i="17" a="1"/>
  <c r="L267" i="17" s="1"/>
  <c r="M267" i="17" s="1"/>
  <c r="K267" i="17" a="1"/>
  <c r="K267" i="17" s="1"/>
  <c r="J267" i="17" a="1"/>
  <c r="J267" i="17" s="1"/>
  <c r="O267" i="17" s="1"/>
  <c r="I267" i="17"/>
  <c r="N267" i="17" s="1"/>
  <c r="L266" i="17" a="1"/>
  <c r="L266" i="17" s="1"/>
  <c r="M266" i="17" s="1"/>
  <c r="K266" i="17" a="1"/>
  <c r="K266" i="17" s="1"/>
  <c r="J266" i="17" a="1"/>
  <c r="J266" i="17" s="1"/>
  <c r="O266" i="17" s="1"/>
  <c r="I266" i="17"/>
  <c r="N266" i="17" s="1"/>
  <c r="L265" i="17" a="1"/>
  <c r="L265" i="17" s="1"/>
  <c r="M265" i="17" s="1"/>
  <c r="K265" i="17" a="1"/>
  <c r="K265" i="17" s="1"/>
  <c r="J265" i="17" a="1"/>
  <c r="J265" i="17" s="1"/>
  <c r="O265" i="17" s="1"/>
  <c r="I265" i="17"/>
  <c r="N265" i="17" s="1"/>
  <c r="L264" i="17" a="1"/>
  <c r="L264" i="17" s="1"/>
  <c r="M264" i="17" s="1"/>
  <c r="K264" i="17" a="1"/>
  <c r="K264" i="17" s="1"/>
  <c r="J264" i="17" a="1"/>
  <c r="J264" i="17" s="1"/>
  <c r="O264" i="17" s="1"/>
  <c r="I264" i="17"/>
  <c r="N264" i="17" s="1"/>
  <c r="L263" i="17" a="1"/>
  <c r="L263" i="17" s="1"/>
  <c r="M263" i="17" s="1"/>
  <c r="K263" i="17" a="1"/>
  <c r="K263" i="17" s="1"/>
  <c r="J263" i="17" a="1"/>
  <c r="J263" i="17" s="1"/>
  <c r="O263" i="17" s="1"/>
  <c r="I263" i="17"/>
  <c r="N263" i="17" s="1"/>
  <c r="L262" i="17" a="1"/>
  <c r="L262" i="17" s="1"/>
  <c r="M262" i="17" s="1"/>
  <c r="K262" i="17" a="1"/>
  <c r="K262" i="17" s="1"/>
  <c r="J262" i="17" a="1"/>
  <c r="J262" i="17" s="1"/>
  <c r="O262" i="17" s="1"/>
  <c r="I262" i="17"/>
  <c r="N262" i="17" s="1"/>
  <c r="L261" i="17" a="1"/>
  <c r="L261" i="17" s="1"/>
  <c r="M261" i="17" s="1"/>
  <c r="K261" i="17" a="1"/>
  <c r="K261" i="17" s="1"/>
  <c r="J261" i="17" a="1"/>
  <c r="J261" i="17" s="1"/>
  <c r="O261" i="17" s="1"/>
  <c r="I261" i="17"/>
  <c r="N261" i="17" s="1"/>
  <c r="L260" i="17" a="1"/>
  <c r="L260" i="17" s="1"/>
  <c r="M260" i="17" s="1"/>
  <c r="K260" i="17" a="1"/>
  <c r="K260" i="17" s="1"/>
  <c r="J260" i="17" a="1"/>
  <c r="J260" i="17" s="1"/>
  <c r="O260" i="17" s="1"/>
  <c r="I260" i="17"/>
  <c r="N260" i="17" s="1"/>
  <c r="L259" i="17" a="1"/>
  <c r="L259" i="17" s="1"/>
  <c r="M259" i="17" s="1"/>
  <c r="K259" i="17" a="1"/>
  <c r="K259" i="17" s="1"/>
  <c r="J259" i="17" a="1"/>
  <c r="J259" i="17" s="1"/>
  <c r="O259" i="17" s="1"/>
  <c r="I259" i="17"/>
  <c r="N259" i="17" s="1"/>
  <c r="L258" i="17" a="1"/>
  <c r="L258" i="17" s="1"/>
  <c r="M258" i="17" s="1"/>
  <c r="K258" i="17" a="1"/>
  <c r="K258" i="17" s="1"/>
  <c r="J258" i="17" a="1"/>
  <c r="J258" i="17" s="1"/>
  <c r="O258" i="17" s="1"/>
  <c r="I258" i="17"/>
  <c r="N258" i="17" s="1"/>
  <c r="L257" i="17" a="1"/>
  <c r="L257" i="17" s="1"/>
  <c r="M257" i="17" s="1"/>
  <c r="K257" i="17" a="1"/>
  <c r="K257" i="17" s="1"/>
  <c r="J257" i="17" a="1"/>
  <c r="J257" i="17" s="1"/>
  <c r="O257" i="17" s="1"/>
  <c r="I257" i="17"/>
  <c r="N257" i="17" s="1"/>
  <c r="L256" i="17" a="1"/>
  <c r="L256" i="17" s="1"/>
  <c r="M256" i="17" s="1"/>
  <c r="K256" i="17" a="1"/>
  <c r="K256" i="17" s="1"/>
  <c r="J256" i="17" a="1"/>
  <c r="J256" i="17" s="1"/>
  <c r="O256" i="17" s="1"/>
  <c r="I256" i="17"/>
  <c r="N256" i="17" s="1"/>
  <c r="L255" i="17" a="1"/>
  <c r="L255" i="17" s="1"/>
  <c r="M255" i="17" s="1"/>
  <c r="K255" i="17" a="1"/>
  <c r="K255" i="17" s="1"/>
  <c r="J255" i="17" a="1"/>
  <c r="J255" i="17" s="1"/>
  <c r="O255" i="17" s="1"/>
  <c r="I255" i="17"/>
  <c r="N255" i="17" s="1"/>
  <c r="L254" i="17" a="1"/>
  <c r="L254" i="17" s="1"/>
  <c r="M254" i="17" s="1"/>
  <c r="K254" i="17" a="1"/>
  <c r="K254" i="17" s="1"/>
  <c r="J254" i="17"/>
  <c r="O254" i="17" s="1"/>
  <c r="J254" i="17" a="1"/>
  <c r="I254" i="17"/>
  <c r="N254" i="17" s="1"/>
  <c r="L253" i="17" a="1"/>
  <c r="L253" i="17" s="1"/>
  <c r="M253" i="17" s="1"/>
  <c r="K253" i="17" a="1"/>
  <c r="K253" i="17" s="1"/>
  <c r="J253" i="17" a="1"/>
  <c r="J253" i="17" s="1"/>
  <c r="O253" i="17" s="1"/>
  <c r="I253" i="17"/>
  <c r="N253" i="17" s="1"/>
  <c r="L252" i="17" a="1"/>
  <c r="L252" i="17" s="1"/>
  <c r="M252" i="17" s="1"/>
  <c r="K252" i="17" a="1"/>
  <c r="K252" i="17" s="1"/>
  <c r="J252" i="17" a="1"/>
  <c r="J252" i="17" s="1"/>
  <c r="O252" i="17" s="1"/>
  <c r="I252" i="17"/>
  <c r="N252" i="17" s="1"/>
  <c r="L251" i="17" a="1"/>
  <c r="L251" i="17" s="1"/>
  <c r="M251" i="17" s="1"/>
  <c r="K251" i="17" a="1"/>
  <c r="K251" i="17" s="1"/>
  <c r="J251" i="17" a="1"/>
  <c r="J251" i="17" s="1"/>
  <c r="O251" i="17" s="1"/>
  <c r="I251" i="17"/>
  <c r="N251" i="17" s="1"/>
  <c r="L250" i="17" a="1"/>
  <c r="L250" i="17" s="1"/>
  <c r="M250" i="17" s="1"/>
  <c r="K250" i="17" a="1"/>
  <c r="K250" i="17" s="1"/>
  <c r="J250" i="17" a="1"/>
  <c r="J250" i="17" s="1"/>
  <c r="O250" i="17" s="1"/>
  <c r="I250" i="17"/>
  <c r="N250" i="17" s="1"/>
  <c r="L249" i="17" a="1"/>
  <c r="L249" i="17" s="1"/>
  <c r="M249" i="17" s="1"/>
  <c r="K249" i="17" a="1"/>
  <c r="K249" i="17" s="1"/>
  <c r="J249" i="17" a="1"/>
  <c r="J249" i="17" s="1"/>
  <c r="O249" i="17" s="1"/>
  <c r="I249" i="17"/>
  <c r="N249" i="17" s="1"/>
  <c r="L248" i="17" a="1"/>
  <c r="L248" i="17" s="1"/>
  <c r="M248" i="17" s="1"/>
  <c r="K248" i="17" a="1"/>
  <c r="K248" i="17" s="1"/>
  <c r="J248" i="17" a="1"/>
  <c r="J248" i="17" s="1"/>
  <c r="O248" i="17" s="1"/>
  <c r="I248" i="17"/>
  <c r="N248" i="17" s="1"/>
  <c r="L247" i="17" a="1"/>
  <c r="L247" i="17" s="1"/>
  <c r="M247" i="17" s="1"/>
  <c r="K247" i="17" a="1"/>
  <c r="K247" i="17" s="1"/>
  <c r="J247" i="17" a="1"/>
  <c r="J247" i="17" s="1"/>
  <c r="O247" i="17" s="1"/>
  <c r="I247" i="17"/>
  <c r="N247" i="17" s="1"/>
  <c r="L246" i="17" a="1"/>
  <c r="L246" i="17" s="1"/>
  <c r="M246" i="17" s="1"/>
  <c r="K246" i="17" a="1"/>
  <c r="K246" i="17" s="1"/>
  <c r="J246" i="17" a="1"/>
  <c r="J246" i="17" s="1"/>
  <c r="O246" i="17" s="1"/>
  <c r="I246" i="17"/>
  <c r="N246" i="17" s="1"/>
  <c r="L245" i="17" a="1"/>
  <c r="L245" i="17" s="1"/>
  <c r="M245" i="17" s="1"/>
  <c r="K245" i="17" a="1"/>
  <c r="K245" i="17" s="1"/>
  <c r="J245" i="17" a="1"/>
  <c r="J245" i="17" s="1"/>
  <c r="O245" i="17" s="1"/>
  <c r="I245" i="17"/>
  <c r="N245" i="17" s="1"/>
  <c r="L244" i="17" a="1"/>
  <c r="L244" i="17" s="1"/>
  <c r="M244" i="17" s="1"/>
  <c r="K244" i="17" a="1"/>
  <c r="K244" i="17" s="1"/>
  <c r="J244" i="17" a="1"/>
  <c r="J244" i="17" s="1"/>
  <c r="O244" i="17" s="1"/>
  <c r="I244" i="17"/>
  <c r="N244" i="17" s="1"/>
  <c r="L243" i="17" a="1"/>
  <c r="L243" i="17" s="1"/>
  <c r="M243" i="17" s="1"/>
  <c r="K243" i="17" a="1"/>
  <c r="K243" i="17" s="1"/>
  <c r="J243" i="17" a="1"/>
  <c r="J243" i="17" s="1"/>
  <c r="O243" i="17" s="1"/>
  <c r="I243" i="17"/>
  <c r="N243" i="17" s="1"/>
  <c r="L242" i="17" a="1"/>
  <c r="L242" i="17" s="1"/>
  <c r="M242" i="17" s="1"/>
  <c r="K242" i="17" a="1"/>
  <c r="K242" i="17" s="1"/>
  <c r="J242" i="17" a="1"/>
  <c r="J242" i="17" s="1"/>
  <c r="O242" i="17" s="1"/>
  <c r="I242" i="17"/>
  <c r="N242" i="17" s="1"/>
  <c r="L241" i="17" a="1"/>
  <c r="L241" i="17" s="1"/>
  <c r="M241" i="17" s="1"/>
  <c r="K241" i="17" a="1"/>
  <c r="K241" i="17" s="1"/>
  <c r="J241" i="17" a="1"/>
  <c r="J241" i="17" s="1"/>
  <c r="O241" i="17" s="1"/>
  <c r="I241" i="17"/>
  <c r="N241" i="17" s="1"/>
  <c r="L240" i="17" a="1"/>
  <c r="L240" i="17" s="1"/>
  <c r="M240" i="17" s="1"/>
  <c r="K240" i="17" a="1"/>
  <c r="K240" i="17" s="1"/>
  <c r="J240" i="17" a="1"/>
  <c r="J240" i="17" s="1"/>
  <c r="O240" i="17" s="1"/>
  <c r="I240" i="17"/>
  <c r="N240" i="17" s="1"/>
  <c r="L239" i="17" a="1"/>
  <c r="L239" i="17" s="1"/>
  <c r="M239" i="17" s="1"/>
  <c r="K239" i="17" a="1"/>
  <c r="K239" i="17" s="1"/>
  <c r="J239" i="17" a="1"/>
  <c r="J239" i="17" s="1"/>
  <c r="O239" i="17" s="1"/>
  <c r="I239" i="17"/>
  <c r="N239" i="17" s="1"/>
  <c r="L238" i="17" a="1"/>
  <c r="L238" i="17" s="1"/>
  <c r="M238" i="17" s="1"/>
  <c r="K238" i="17" a="1"/>
  <c r="K238" i="17" s="1"/>
  <c r="J238" i="17" a="1"/>
  <c r="J238" i="17" s="1"/>
  <c r="O238" i="17" s="1"/>
  <c r="I238" i="17"/>
  <c r="N238" i="17" s="1"/>
  <c r="L237" i="17" a="1"/>
  <c r="L237" i="17" s="1"/>
  <c r="M237" i="17" s="1"/>
  <c r="K237" i="17" a="1"/>
  <c r="K237" i="17" s="1"/>
  <c r="J237" i="17" a="1"/>
  <c r="J237" i="17" s="1"/>
  <c r="O237" i="17" s="1"/>
  <c r="I237" i="17"/>
  <c r="N237" i="17" s="1"/>
  <c r="L236" i="17" a="1"/>
  <c r="L236" i="17" s="1"/>
  <c r="M236" i="17" s="1"/>
  <c r="K236" i="17" a="1"/>
  <c r="K236" i="17" s="1"/>
  <c r="J236" i="17" a="1"/>
  <c r="J236" i="17" s="1"/>
  <c r="O236" i="17" s="1"/>
  <c r="I236" i="17"/>
  <c r="N236" i="17" s="1"/>
  <c r="L235" i="17" a="1"/>
  <c r="L235" i="17" s="1"/>
  <c r="M235" i="17" s="1"/>
  <c r="K235" i="17" a="1"/>
  <c r="K235" i="17" s="1"/>
  <c r="J235" i="17" a="1"/>
  <c r="J235" i="17" s="1"/>
  <c r="O235" i="17" s="1"/>
  <c r="I235" i="17"/>
  <c r="N235" i="17" s="1"/>
  <c r="L234" i="17" a="1"/>
  <c r="L234" i="17" s="1"/>
  <c r="M234" i="17" s="1"/>
  <c r="K234" i="17" a="1"/>
  <c r="K234" i="17" s="1"/>
  <c r="J234" i="17" a="1"/>
  <c r="J234" i="17" s="1"/>
  <c r="O234" i="17" s="1"/>
  <c r="I234" i="17"/>
  <c r="N234" i="17" s="1"/>
  <c r="L233" i="17" a="1"/>
  <c r="L233" i="17" s="1"/>
  <c r="M233" i="17" s="1"/>
  <c r="K233" i="17" a="1"/>
  <c r="K233" i="17" s="1"/>
  <c r="J233" i="17" a="1"/>
  <c r="J233" i="17" s="1"/>
  <c r="O233" i="17" s="1"/>
  <c r="I233" i="17"/>
  <c r="N233" i="17" s="1"/>
  <c r="L232" i="17" a="1"/>
  <c r="L232" i="17" s="1"/>
  <c r="M232" i="17" s="1"/>
  <c r="K232" i="17" a="1"/>
  <c r="K232" i="17" s="1"/>
  <c r="J232" i="17" a="1"/>
  <c r="J232" i="17" s="1"/>
  <c r="O232" i="17" s="1"/>
  <c r="I232" i="17"/>
  <c r="N232" i="17" s="1"/>
  <c r="L231" i="17" a="1"/>
  <c r="L231" i="17" s="1"/>
  <c r="M231" i="17" s="1"/>
  <c r="K231" i="17" a="1"/>
  <c r="K231" i="17" s="1"/>
  <c r="J231" i="17" a="1"/>
  <c r="J231" i="17" s="1"/>
  <c r="O231" i="17" s="1"/>
  <c r="I231" i="17"/>
  <c r="N231" i="17" s="1"/>
  <c r="L230" i="17" a="1"/>
  <c r="L230" i="17" s="1"/>
  <c r="M230" i="17" s="1"/>
  <c r="K230" i="17" a="1"/>
  <c r="K230" i="17" s="1"/>
  <c r="J230" i="17" a="1"/>
  <c r="J230" i="17" s="1"/>
  <c r="O230" i="17" s="1"/>
  <c r="I230" i="17"/>
  <c r="N230" i="17" s="1"/>
  <c r="L229" i="17" a="1"/>
  <c r="L229" i="17" s="1"/>
  <c r="M229" i="17" s="1"/>
  <c r="K229" i="17" a="1"/>
  <c r="K229" i="17" s="1"/>
  <c r="J229" i="17" a="1"/>
  <c r="J229" i="17" s="1"/>
  <c r="O229" i="17" s="1"/>
  <c r="I229" i="17"/>
  <c r="N229" i="17" s="1"/>
  <c r="L228" i="17" a="1"/>
  <c r="L228" i="17" s="1"/>
  <c r="M228" i="17" s="1"/>
  <c r="K228" i="17" a="1"/>
  <c r="K228" i="17" s="1"/>
  <c r="J228" i="17" a="1"/>
  <c r="J228" i="17" s="1"/>
  <c r="O228" i="17" s="1"/>
  <c r="I228" i="17"/>
  <c r="N228" i="17" s="1"/>
  <c r="L227" i="17" a="1"/>
  <c r="L227" i="17" s="1"/>
  <c r="M227" i="17" s="1"/>
  <c r="K227" i="17" a="1"/>
  <c r="K227" i="17" s="1"/>
  <c r="J227" i="17" a="1"/>
  <c r="J227" i="17" s="1"/>
  <c r="O227" i="17" s="1"/>
  <c r="I227" i="17"/>
  <c r="N227" i="17" s="1"/>
  <c r="L226" i="17" a="1"/>
  <c r="L226" i="17" s="1"/>
  <c r="M226" i="17" s="1"/>
  <c r="K226" i="17" a="1"/>
  <c r="K226" i="17" s="1"/>
  <c r="J226" i="17" a="1"/>
  <c r="J226" i="17" s="1"/>
  <c r="O226" i="17" s="1"/>
  <c r="I226" i="17"/>
  <c r="N226" i="17" s="1"/>
  <c r="L225" i="17" a="1"/>
  <c r="L225" i="17" s="1"/>
  <c r="M225" i="17" s="1"/>
  <c r="K225" i="17" a="1"/>
  <c r="K225" i="17" s="1"/>
  <c r="J225" i="17" a="1"/>
  <c r="J225" i="17" s="1"/>
  <c r="O225" i="17" s="1"/>
  <c r="I225" i="17"/>
  <c r="N225" i="17" s="1"/>
  <c r="L224" i="17" a="1"/>
  <c r="L224" i="17" s="1"/>
  <c r="M224" i="17" s="1"/>
  <c r="K224" i="17" a="1"/>
  <c r="K224" i="17" s="1"/>
  <c r="J224" i="17" a="1"/>
  <c r="J224" i="17" s="1"/>
  <c r="O224" i="17" s="1"/>
  <c r="I224" i="17"/>
  <c r="N224" i="17" s="1"/>
  <c r="L223" i="17" a="1"/>
  <c r="L223" i="17" s="1"/>
  <c r="M223" i="17" s="1"/>
  <c r="K223" i="17" a="1"/>
  <c r="K223" i="17" s="1"/>
  <c r="J223" i="17" a="1"/>
  <c r="J223" i="17" s="1"/>
  <c r="O223" i="17" s="1"/>
  <c r="I223" i="17"/>
  <c r="N223" i="17" s="1"/>
  <c r="L222" i="17" a="1"/>
  <c r="L222" i="17" s="1"/>
  <c r="M222" i="17" s="1"/>
  <c r="K222" i="17" a="1"/>
  <c r="K222" i="17" s="1"/>
  <c r="J222" i="17" a="1"/>
  <c r="J222" i="17" s="1"/>
  <c r="O222" i="17" s="1"/>
  <c r="I222" i="17"/>
  <c r="N222" i="17" s="1"/>
  <c r="L221" i="17" a="1"/>
  <c r="L221" i="17" s="1"/>
  <c r="M221" i="17" s="1"/>
  <c r="K221" i="17" a="1"/>
  <c r="K221" i="17" s="1"/>
  <c r="J221" i="17" a="1"/>
  <c r="J221" i="17" s="1"/>
  <c r="O221" i="17" s="1"/>
  <c r="I221" i="17"/>
  <c r="N221" i="17" s="1"/>
  <c r="L220" i="17" a="1"/>
  <c r="L220" i="17" s="1"/>
  <c r="M220" i="17" s="1"/>
  <c r="K220" i="17" a="1"/>
  <c r="K220" i="17" s="1"/>
  <c r="J220" i="17" a="1"/>
  <c r="J220" i="17" s="1"/>
  <c r="O220" i="17" s="1"/>
  <c r="I220" i="17"/>
  <c r="N220" i="17" s="1"/>
  <c r="L219" i="17" a="1"/>
  <c r="L219" i="17" s="1"/>
  <c r="M219" i="17" s="1"/>
  <c r="K219" i="17" a="1"/>
  <c r="K219" i="17" s="1"/>
  <c r="J219" i="17" a="1"/>
  <c r="J219" i="17" s="1"/>
  <c r="O219" i="17" s="1"/>
  <c r="I219" i="17"/>
  <c r="N219" i="17" s="1"/>
  <c r="L218" i="17" a="1"/>
  <c r="L218" i="17" s="1"/>
  <c r="M218" i="17" s="1"/>
  <c r="K218" i="17" a="1"/>
  <c r="K218" i="17" s="1"/>
  <c r="J218" i="17" a="1"/>
  <c r="J218" i="17" s="1"/>
  <c r="O218" i="17" s="1"/>
  <c r="I218" i="17"/>
  <c r="N218" i="17" s="1"/>
  <c r="L217" i="17" a="1"/>
  <c r="L217" i="17" s="1"/>
  <c r="M217" i="17" s="1"/>
  <c r="K217" i="17" a="1"/>
  <c r="K217" i="17" s="1"/>
  <c r="J217" i="17" a="1"/>
  <c r="J217" i="17" s="1"/>
  <c r="O217" i="17" s="1"/>
  <c r="I217" i="17"/>
  <c r="N217" i="17" s="1"/>
  <c r="L216" i="17" a="1"/>
  <c r="L216" i="17" s="1"/>
  <c r="M216" i="17" s="1"/>
  <c r="K216" i="17" a="1"/>
  <c r="K216" i="17" s="1"/>
  <c r="J216" i="17" a="1"/>
  <c r="J216" i="17" s="1"/>
  <c r="O216" i="17" s="1"/>
  <c r="I216" i="17"/>
  <c r="N216" i="17" s="1"/>
  <c r="L215" i="17" a="1"/>
  <c r="L215" i="17" s="1"/>
  <c r="M215" i="17" s="1"/>
  <c r="K215" i="17" a="1"/>
  <c r="K215" i="17" s="1"/>
  <c r="J215" i="17" a="1"/>
  <c r="J215" i="17" s="1"/>
  <c r="O215" i="17" s="1"/>
  <c r="I215" i="17"/>
  <c r="N215" i="17" s="1"/>
  <c r="L214" i="17" a="1"/>
  <c r="L214" i="17" s="1"/>
  <c r="M214" i="17" s="1"/>
  <c r="K214" i="17" a="1"/>
  <c r="K214" i="17" s="1"/>
  <c r="J214" i="17" a="1"/>
  <c r="J214" i="17" s="1"/>
  <c r="O214" i="17" s="1"/>
  <c r="I214" i="17"/>
  <c r="N214" i="17" s="1"/>
  <c r="L213" i="17" a="1"/>
  <c r="L213" i="17" s="1"/>
  <c r="M213" i="17" s="1"/>
  <c r="K213" i="17" a="1"/>
  <c r="K213" i="17" s="1"/>
  <c r="J213" i="17" a="1"/>
  <c r="J213" i="17" s="1"/>
  <c r="O213" i="17" s="1"/>
  <c r="I213" i="17"/>
  <c r="N213" i="17" s="1"/>
  <c r="L212" i="17" a="1"/>
  <c r="L212" i="17" s="1"/>
  <c r="M212" i="17" s="1"/>
  <c r="K212" i="17" a="1"/>
  <c r="K212" i="17" s="1"/>
  <c r="J212" i="17" a="1"/>
  <c r="J212" i="17" s="1"/>
  <c r="O212" i="17" s="1"/>
  <c r="I212" i="17"/>
  <c r="N212" i="17" s="1"/>
  <c r="L211" i="17" a="1"/>
  <c r="L211" i="17" s="1"/>
  <c r="M211" i="17" s="1"/>
  <c r="K211" i="17" a="1"/>
  <c r="K211" i="17" s="1"/>
  <c r="J211" i="17" a="1"/>
  <c r="J211" i="17" s="1"/>
  <c r="O211" i="17" s="1"/>
  <c r="I211" i="17"/>
  <c r="N211" i="17" s="1"/>
  <c r="L210" i="17" a="1"/>
  <c r="L210" i="17" s="1"/>
  <c r="M210" i="17" s="1"/>
  <c r="K210" i="17" a="1"/>
  <c r="K210" i="17" s="1"/>
  <c r="J210" i="17" a="1"/>
  <c r="J210" i="17" s="1"/>
  <c r="O210" i="17" s="1"/>
  <c r="I210" i="17"/>
  <c r="N210" i="17" s="1"/>
  <c r="L209" i="17" a="1"/>
  <c r="L209" i="17" s="1"/>
  <c r="M209" i="17" s="1"/>
  <c r="K209" i="17" a="1"/>
  <c r="K209" i="17" s="1"/>
  <c r="J209" i="17" a="1"/>
  <c r="J209" i="17" s="1"/>
  <c r="O209" i="17" s="1"/>
  <c r="I209" i="17"/>
  <c r="N209" i="17" s="1"/>
  <c r="L208" i="17" a="1"/>
  <c r="L208" i="17" s="1"/>
  <c r="M208" i="17" s="1"/>
  <c r="K208" i="17"/>
  <c r="K208" i="17" a="1"/>
  <c r="J208" i="17" a="1"/>
  <c r="J208" i="17" s="1"/>
  <c r="O208" i="17" s="1"/>
  <c r="I208" i="17"/>
  <c r="N208" i="17" s="1"/>
  <c r="L207" i="17" a="1"/>
  <c r="L207" i="17" s="1"/>
  <c r="M207" i="17" s="1"/>
  <c r="K207" i="17" a="1"/>
  <c r="K207" i="17" s="1"/>
  <c r="J207" i="17" a="1"/>
  <c r="J207" i="17" s="1"/>
  <c r="O207" i="17" s="1"/>
  <c r="I207" i="17"/>
  <c r="N207" i="17" s="1"/>
  <c r="L206" i="17" a="1"/>
  <c r="L206" i="17" s="1"/>
  <c r="M206" i="17" s="1"/>
  <c r="K206" i="17" a="1"/>
  <c r="K206" i="17" s="1"/>
  <c r="J206" i="17" a="1"/>
  <c r="J206" i="17" s="1"/>
  <c r="O206" i="17" s="1"/>
  <c r="I206" i="17"/>
  <c r="N206" i="17" s="1"/>
  <c r="L205" i="17" a="1"/>
  <c r="L205" i="17" s="1"/>
  <c r="M205" i="17" s="1"/>
  <c r="K205" i="17" a="1"/>
  <c r="K205" i="17" s="1"/>
  <c r="J205" i="17" a="1"/>
  <c r="J205" i="17" s="1"/>
  <c r="O205" i="17" s="1"/>
  <c r="I205" i="17"/>
  <c r="N205" i="17" s="1"/>
  <c r="L204" i="17" a="1"/>
  <c r="L204" i="17" s="1"/>
  <c r="M204" i="17" s="1"/>
  <c r="K204" i="17" a="1"/>
  <c r="K204" i="17" s="1"/>
  <c r="J204" i="17" a="1"/>
  <c r="J204" i="17" s="1"/>
  <c r="O204" i="17" s="1"/>
  <c r="I204" i="17"/>
  <c r="N204" i="17" s="1"/>
  <c r="L203" i="17" a="1"/>
  <c r="L203" i="17" s="1"/>
  <c r="M203" i="17" s="1"/>
  <c r="K203" i="17" a="1"/>
  <c r="K203" i="17" s="1"/>
  <c r="J203" i="17" a="1"/>
  <c r="J203" i="17" s="1"/>
  <c r="O203" i="17" s="1"/>
  <c r="I203" i="17"/>
  <c r="N203" i="17" s="1"/>
  <c r="L202" i="17" a="1"/>
  <c r="L202" i="17" s="1"/>
  <c r="M202" i="17" s="1"/>
  <c r="K202" i="17" a="1"/>
  <c r="K202" i="17" s="1"/>
  <c r="J202" i="17" a="1"/>
  <c r="J202" i="17" s="1"/>
  <c r="O202" i="17" s="1"/>
  <c r="I202" i="17"/>
  <c r="N202" i="17" s="1"/>
  <c r="L201" i="17" a="1"/>
  <c r="L201" i="17" s="1"/>
  <c r="M201" i="17" s="1"/>
  <c r="K201" i="17" a="1"/>
  <c r="K201" i="17" s="1"/>
  <c r="J201" i="17" a="1"/>
  <c r="J201" i="17" s="1"/>
  <c r="O201" i="17" s="1"/>
  <c r="I201" i="17"/>
  <c r="N201" i="17" s="1"/>
  <c r="L200" i="17" a="1"/>
  <c r="L200" i="17" s="1"/>
  <c r="M200" i="17" s="1"/>
  <c r="K200" i="17" a="1"/>
  <c r="K200" i="17" s="1"/>
  <c r="J200" i="17" a="1"/>
  <c r="J200" i="17" s="1"/>
  <c r="O200" i="17" s="1"/>
  <c r="I200" i="17"/>
  <c r="N200" i="17" s="1"/>
  <c r="L199" i="17" a="1"/>
  <c r="L199" i="17" s="1"/>
  <c r="M199" i="17" s="1"/>
  <c r="K199" i="17" a="1"/>
  <c r="K199" i="17" s="1"/>
  <c r="J199" i="17" a="1"/>
  <c r="J199" i="17" s="1"/>
  <c r="O199" i="17" s="1"/>
  <c r="I199" i="17"/>
  <c r="N199" i="17" s="1"/>
  <c r="L198" i="17" a="1"/>
  <c r="L198" i="17" s="1"/>
  <c r="M198" i="17" s="1"/>
  <c r="K198" i="17" a="1"/>
  <c r="K198" i="17" s="1"/>
  <c r="J198" i="17" a="1"/>
  <c r="J198" i="17" s="1"/>
  <c r="O198" i="17" s="1"/>
  <c r="I198" i="17"/>
  <c r="N198" i="17" s="1"/>
  <c r="L197" i="17" a="1"/>
  <c r="L197" i="17" s="1"/>
  <c r="M197" i="17" s="1"/>
  <c r="K197" i="17" a="1"/>
  <c r="K197" i="17" s="1"/>
  <c r="J197" i="17" a="1"/>
  <c r="J197" i="17" s="1"/>
  <c r="O197" i="17" s="1"/>
  <c r="I197" i="17"/>
  <c r="N197" i="17" s="1"/>
  <c r="L196" i="17" a="1"/>
  <c r="L196" i="17" s="1"/>
  <c r="M196" i="17" s="1"/>
  <c r="K196" i="17" a="1"/>
  <c r="K196" i="17" s="1"/>
  <c r="J196" i="17" a="1"/>
  <c r="J196" i="17" s="1"/>
  <c r="O196" i="17" s="1"/>
  <c r="I196" i="17"/>
  <c r="N196" i="17" s="1"/>
  <c r="L195" i="17" a="1"/>
  <c r="L195" i="17" s="1"/>
  <c r="M195" i="17" s="1"/>
  <c r="K195" i="17" a="1"/>
  <c r="K195" i="17" s="1"/>
  <c r="J195" i="17" a="1"/>
  <c r="J195" i="17" s="1"/>
  <c r="O195" i="17" s="1"/>
  <c r="I195" i="17"/>
  <c r="N195" i="17" s="1"/>
  <c r="L194" i="17" a="1"/>
  <c r="L194" i="17" s="1"/>
  <c r="M194" i="17" s="1"/>
  <c r="K194" i="17" a="1"/>
  <c r="K194" i="17" s="1"/>
  <c r="J194" i="17" a="1"/>
  <c r="J194" i="17" s="1"/>
  <c r="O194" i="17" s="1"/>
  <c r="I194" i="17"/>
  <c r="N194" i="17" s="1"/>
  <c r="L193" i="17" a="1"/>
  <c r="L193" i="17" s="1"/>
  <c r="M193" i="17" s="1"/>
  <c r="K193" i="17" a="1"/>
  <c r="K193" i="17" s="1"/>
  <c r="J193" i="17" a="1"/>
  <c r="J193" i="17" s="1"/>
  <c r="O193" i="17" s="1"/>
  <c r="I193" i="17"/>
  <c r="N193" i="17" s="1"/>
  <c r="L192" i="17" a="1"/>
  <c r="L192" i="17" s="1"/>
  <c r="M192" i="17" s="1"/>
  <c r="K192" i="17" a="1"/>
  <c r="K192" i="17" s="1"/>
  <c r="J192" i="17" a="1"/>
  <c r="J192" i="17" s="1"/>
  <c r="O192" i="17" s="1"/>
  <c r="I192" i="17"/>
  <c r="N192" i="17" s="1"/>
  <c r="L191" i="17" a="1"/>
  <c r="L191" i="17" s="1"/>
  <c r="M191" i="17" s="1"/>
  <c r="K191" i="17" a="1"/>
  <c r="K191" i="17" s="1"/>
  <c r="J191" i="17" a="1"/>
  <c r="J191" i="17" s="1"/>
  <c r="O191" i="17" s="1"/>
  <c r="I191" i="17"/>
  <c r="N191" i="17" s="1"/>
  <c r="L190" i="17" a="1"/>
  <c r="L190" i="17" s="1"/>
  <c r="M190" i="17" s="1"/>
  <c r="K190" i="17" a="1"/>
  <c r="K190" i="17" s="1"/>
  <c r="J190" i="17" a="1"/>
  <c r="J190" i="17" s="1"/>
  <c r="O190" i="17" s="1"/>
  <c r="I190" i="17"/>
  <c r="N190" i="17" s="1"/>
  <c r="L189" i="17" a="1"/>
  <c r="L189" i="17" s="1"/>
  <c r="M189" i="17" s="1"/>
  <c r="K189" i="17" a="1"/>
  <c r="K189" i="17" s="1"/>
  <c r="J189" i="17" a="1"/>
  <c r="J189" i="17" s="1"/>
  <c r="O189" i="17" s="1"/>
  <c r="I189" i="17"/>
  <c r="N189" i="17" s="1"/>
  <c r="L188" i="17" a="1"/>
  <c r="L188" i="17" s="1"/>
  <c r="M188" i="17" s="1"/>
  <c r="K188" i="17" a="1"/>
  <c r="K188" i="17" s="1"/>
  <c r="J188" i="17" a="1"/>
  <c r="J188" i="17" s="1"/>
  <c r="O188" i="17" s="1"/>
  <c r="I188" i="17"/>
  <c r="N188" i="17" s="1"/>
  <c r="L187" i="17" a="1"/>
  <c r="L187" i="17" s="1"/>
  <c r="M187" i="17" s="1"/>
  <c r="K187" i="17" a="1"/>
  <c r="K187" i="17" s="1"/>
  <c r="J187" i="17" a="1"/>
  <c r="J187" i="17" s="1"/>
  <c r="O187" i="17" s="1"/>
  <c r="I187" i="17"/>
  <c r="N187" i="17" s="1"/>
  <c r="L186" i="17" a="1"/>
  <c r="L186" i="17" s="1"/>
  <c r="M186" i="17" s="1"/>
  <c r="K186" i="17" a="1"/>
  <c r="K186" i="17" s="1"/>
  <c r="J186" i="17" a="1"/>
  <c r="J186" i="17" s="1"/>
  <c r="O186" i="17" s="1"/>
  <c r="I186" i="17"/>
  <c r="N186" i="17" s="1"/>
  <c r="L185" i="17" a="1"/>
  <c r="L185" i="17" s="1"/>
  <c r="M185" i="17" s="1"/>
  <c r="K185" i="17" a="1"/>
  <c r="K185" i="17" s="1"/>
  <c r="J185" i="17" a="1"/>
  <c r="J185" i="17" s="1"/>
  <c r="O185" i="17" s="1"/>
  <c r="I185" i="17"/>
  <c r="N185" i="17" s="1"/>
  <c r="L184" i="17" a="1"/>
  <c r="L184" i="17" s="1"/>
  <c r="M184" i="17" s="1"/>
  <c r="K184" i="17" a="1"/>
  <c r="K184" i="17" s="1"/>
  <c r="J184" i="17" a="1"/>
  <c r="J184" i="17" s="1"/>
  <c r="O184" i="17" s="1"/>
  <c r="I184" i="17"/>
  <c r="N184" i="17" s="1"/>
  <c r="L183" i="17" a="1"/>
  <c r="L183" i="17" s="1"/>
  <c r="M183" i="17" s="1"/>
  <c r="K183" i="17" a="1"/>
  <c r="K183" i="17" s="1"/>
  <c r="J183" i="17" a="1"/>
  <c r="J183" i="17" s="1"/>
  <c r="O183" i="17" s="1"/>
  <c r="I183" i="17"/>
  <c r="N183" i="17" s="1"/>
  <c r="L182" i="17" a="1"/>
  <c r="L182" i="17" s="1"/>
  <c r="M182" i="17" s="1"/>
  <c r="K182" i="17" a="1"/>
  <c r="K182" i="17" s="1"/>
  <c r="J182" i="17" a="1"/>
  <c r="J182" i="17" s="1"/>
  <c r="O182" i="17" s="1"/>
  <c r="I182" i="17"/>
  <c r="N182" i="17" s="1"/>
  <c r="L181" i="17" a="1"/>
  <c r="L181" i="17" s="1"/>
  <c r="M181" i="17" s="1"/>
  <c r="K181" i="17" a="1"/>
  <c r="K181" i="17" s="1"/>
  <c r="J181" i="17" a="1"/>
  <c r="J181" i="17" s="1"/>
  <c r="O181" i="17" s="1"/>
  <c r="I181" i="17"/>
  <c r="N181" i="17" s="1"/>
  <c r="L180" i="17" a="1"/>
  <c r="L180" i="17" s="1"/>
  <c r="M180" i="17" s="1"/>
  <c r="K180" i="17" a="1"/>
  <c r="K180" i="17" s="1"/>
  <c r="J180" i="17" a="1"/>
  <c r="J180" i="17" s="1"/>
  <c r="O180" i="17" s="1"/>
  <c r="I180" i="17"/>
  <c r="N180" i="17" s="1"/>
  <c r="L179" i="17" a="1"/>
  <c r="L179" i="17" s="1"/>
  <c r="M179" i="17" s="1"/>
  <c r="K179" i="17" a="1"/>
  <c r="K179" i="17" s="1"/>
  <c r="J179" i="17" a="1"/>
  <c r="J179" i="17" s="1"/>
  <c r="O179" i="17" s="1"/>
  <c r="I179" i="17"/>
  <c r="N179" i="17" s="1"/>
  <c r="L178" i="17" a="1"/>
  <c r="L178" i="17" s="1"/>
  <c r="M178" i="17" s="1"/>
  <c r="K178" i="17" a="1"/>
  <c r="K178" i="17" s="1"/>
  <c r="J178" i="17" a="1"/>
  <c r="J178" i="17" s="1"/>
  <c r="O178" i="17" s="1"/>
  <c r="I178" i="17"/>
  <c r="N178" i="17" s="1"/>
  <c r="L177" i="17" a="1"/>
  <c r="L177" i="17" s="1"/>
  <c r="M177" i="17" s="1"/>
  <c r="K177" i="17" a="1"/>
  <c r="K177" i="17" s="1"/>
  <c r="J177" i="17" a="1"/>
  <c r="J177" i="17" s="1"/>
  <c r="O177" i="17" s="1"/>
  <c r="I177" i="17"/>
  <c r="N177" i="17" s="1"/>
  <c r="L176" i="17" a="1"/>
  <c r="L176" i="17" s="1"/>
  <c r="M176" i="17" s="1"/>
  <c r="K176" i="17" a="1"/>
  <c r="K176" i="17" s="1"/>
  <c r="J176" i="17" a="1"/>
  <c r="J176" i="17" s="1"/>
  <c r="O176" i="17" s="1"/>
  <c r="I176" i="17"/>
  <c r="N176" i="17" s="1"/>
  <c r="L175" i="17" a="1"/>
  <c r="L175" i="17" s="1"/>
  <c r="M175" i="17" s="1"/>
  <c r="K175" i="17" a="1"/>
  <c r="K175" i="17" s="1"/>
  <c r="J175" i="17" a="1"/>
  <c r="J175" i="17" s="1"/>
  <c r="O175" i="17" s="1"/>
  <c r="I175" i="17"/>
  <c r="N175" i="17" s="1"/>
  <c r="L174" i="17" a="1"/>
  <c r="L174" i="17" s="1"/>
  <c r="M174" i="17" s="1"/>
  <c r="K174" i="17" a="1"/>
  <c r="K174" i="17" s="1"/>
  <c r="J174" i="17" a="1"/>
  <c r="J174" i="17" s="1"/>
  <c r="O174" i="17" s="1"/>
  <c r="I174" i="17"/>
  <c r="N174" i="17" s="1"/>
  <c r="L173" i="17" a="1"/>
  <c r="L173" i="17" s="1"/>
  <c r="M173" i="17" s="1"/>
  <c r="K173" i="17" a="1"/>
  <c r="K173" i="17" s="1"/>
  <c r="J173" i="17" a="1"/>
  <c r="J173" i="17" s="1"/>
  <c r="O173" i="17" s="1"/>
  <c r="I173" i="17"/>
  <c r="N173" i="17" s="1"/>
  <c r="L172" i="17" a="1"/>
  <c r="L172" i="17" s="1"/>
  <c r="M172" i="17" s="1"/>
  <c r="K172" i="17" a="1"/>
  <c r="K172" i="17" s="1"/>
  <c r="J172" i="17" a="1"/>
  <c r="J172" i="17" s="1"/>
  <c r="O172" i="17" s="1"/>
  <c r="I172" i="17"/>
  <c r="N172" i="17" s="1"/>
  <c r="L171" i="17" a="1"/>
  <c r="L171" i="17" s="1"/>
  <c r="M171" i="17" s="1"/>
  <c r="K171" i="17" a="1"/>
  <c r="K171" i="17" s="1"/>
  <c r="J171" i="17" a="1"/>
  <c r="J171" i="17" s="1"/>
  <c r="O171" i="17" s="1"/>
  <c r="I171" i="17"/>
  <c r="N171" i="17" s="1"/>
  <c r="L170" i="17" a="1"/>
  <c r="L170" i="17" s="1"/>
  <c r="M170" i="17" s="1"/>
  <c r="K170" i="17" a="1"/>
  <c r="K170" i="17" s="1"/>
  <c r="J170" i="17" a="1"/>
  <c r="J170" i="17" s="1"/>
  <c r="O170" i="17" s="1"/>
  <c r="I170" i="17"/>
  <c r="N170" i="17" s="1"/>
  <c r="L169" i="17" a="1"/>
  <c r="L169" i="17" s="1"/>
  <c r="M169" i="17" s="1"/>
  <c r="K169" i="17" a="1"/>
  <c r="K169" i="17" s="1"/>
  <c r="J169" i="17" a="1"/>
  <c r="J169" i="17" s="1"/>
  <c r="O169" i="17" s="1"/>
  <c r="I169" i="17"/>
  <c r="N169" i="17" s="1"/>
  <c r="L168" i="17" a="1"/>
  <c r="L168" i="17" s="1"/>
  <c r="M168" i="17" s="1"/>
  <c r="K168" i="17" a="1"/>
  <c r="K168" i="17" s="1"/>
  <c r="J168" i="17" a="1"/>
  <c r="J168" i="17" s="1"/>
  <c r="O168" i="17" s="1"/>
  <c r="I168" i="17"/>
  <c r="N168" i="17" s="1"/>
  <c r="L167" i="17" a="1"/>
  <c r="L167" i="17" s="1"/>
  <c r="M167" i="17" s="1"/>
  <c r="K167" i="17" a="1"/>
  <c r="K167" i="17" s="1"/>
  <c r="J167" i="17" a="1"/>
  <c r="J167" i="17" s="1"/>
  <c r="O167" i="17" s="1"/>
  <c r="I167" i="17"/>
  <c r="N167" i="17" s="1"/>
  <c r="L166" i="17" a="1"/>
  <c r="L166" i="17" s="1"/>
  <c r="M166" i="17" s="1"/>
  <c r="K166" i="17" a="1"/>
  <c r="K166" i="17" s="1"/>
  <c r="J166" i="17" a="1"/>
  <c r="J166" i="17" s="1"/>
  <c r="O166" i="17" s="1"/>
  <c r="I166" i="17"/>
  <c r="N166" i="17" s="1"/>
  <c r="L165" i="17" a="1"/>
  <c r="L165" i="17" s="1"/>
  <c r="M165" i="17" s="1"/>
  <c r="K165" i="17" a="1"/>
  <c r="K165" i="17" s="1"/>
  <c r="J165" i="17" a="1"/>
  <c r="J165" i="17" s="1"/>
  <c r="O165" i="17" s="1"/>
  <c r="I165" i="17"/>
  <c r="N165" i="17" s="1"/>
  <c r="L164" i="17" a="1"/>
  <c r="L164" i="17" s="1"/>
  <c r="M164" i="17" s="1"/>
  <c r="K164" i="17" a="1"/>
  <c r="K164" i="17" s="1"/>
  <c r="J164" i="17" a="1"/>
  <c r="J164" i="17" s="1"/>
  <c r="O164" i="17" s="1"/>
  <c r="I164" i="17"/>
  <c r="N164" i="17" s="1"/>
  <c r="L163" i="17" a="1"/>
  <c r="L163" i="17" s="1"/>
  <c r="M163" i="17" s="1"/>
  <c r="K163" i="17" a="1"/>
  <c r="K163" i="17" s="1"/>
  <c r="J163" i="17" a="1"/>
  <c r="J163" i="17" s="1"/>
  <c r="O163" i="17" s="1"/>
  <c r="I163" i="17"/>
  <c r="N163" i="17" s="1"/>
  <c r="L162" i="17" a="1"/>
  <c r="L162" i="17" s="1"/>
  <c r="M162" i="17" s="1"/>
  <c r="K162" i="17" a="1"/>
  <c r="K162" i="17" s="1"/>
  <c r="J162" i="17" a="1"/>
  <c r="J162" i="17" s="1"/>
  <c r="O162" i="17" s="1"/>
  <c r="I162" i="17"/>
  <c r="N162" i="17" s="1"/>
  <c r="L161" i="17" a="1"/>
  <c r="L161" i="17" s="1"/>
  <c r="M161" i="17" s="1"/>
  <c r="K161" i="17" a="1"/>
  <c r="K161" i="17" s="1"/>
  <c r="J161" i="17" a="1"/>
  <c r="J161" i="17" s="1"/>
  <c r="O161" i="17" s="1"/>
  <c r="I161" i="17"/>
  <c r="N161" i="17" s="1"/>
  <c r="L160" i="17" a="1"/>
  <c r="L160" i="17" s="1"/>
  <c r="M160" i="17" s="1"/>
  <c r="K160" i="17" a="1"/>
  <c r="K160" i="17" s="1"/>
  <c r="J160" i="17" a="1"/>
  <c r="J160" i="17" s="1"/>
  <c r="O160" i="17" s="1"/>
  <c r="I160" i="17"/>
  <c r="N160" i="17" s="1"/>
  <c r="L159" i="17" a="1"/>
  <c r="L159" i="17" s="1"/>
  <c r="M159" i="17" s="1"/>
  <c r="K159" i="17" a="1"/>
  <c r="K159" i="17" s="1"/>
  <c r="J159" i="17" a="1"/>
  <c r="J159" i="17" s="1"/>
  <c r="O159" i="17" s="1"/>
  <c r="I159" i="17"/>
  <c r="N159" i="17" s="1"/>
  <c r="L158" i="17" a="1"/>
  <c r="L158" i="17" s="1"/>
  <c r="M158" i="17" s="1"/>
  <c r="K158" i="17" a="1"/>
  <c r="K158" i="17" s="1"/>
  <c r="J158" i="17" a="1"/>
  <c r="J158" i="17" s="1"/>
  <c r="O158" i="17" s="1"/>
  <c r="I158" i="17"/>
  <c r="N158" i="17" s="1"/>
  <c r="L157" i="17" a="1"/>
  <c r="L157" i="17" s="1"/>
  <c r="M157" i="17" s="1"/>
  <c r="K157" i="17" a="1"/>
  <c r="K157" i="17" s="1"/>
  <c r="J157" i="17" a="1"/>
  <c r="J157" i="17" s="1"/>
  <c r="O157" i="17" s="1"/>
  <c r="I157" i="17"/>
  <c r="N157" i="17" s="1"/>
  <c r="L156" i="17" a="1"/>
  <c r="L156" i="17" s="1"/>
  <c r="M156" i="17" s="1"/>
  <c r="K156" i="17" a="1"/>
  <c r="K156" i="17" s="1"/>
  <c r="J156" i="17" a="1"/>
  <c r="J156" i="17" s="1"/>
  <c r="O156" i="17" s="1"/>
  <c r="I156" i="17"/>
  <c r="N156" i="17" s="1"/>
  <c r="L155" i="17" a="1"/>
  <c r="L155" i="17" s="1"/>
  <c r="M155" i="17" s="1"/>
  <c r="K155" i="17" a="1"/>
  <c r="K155" i="17" s="1"/>
  <c r="J155" i="17" a="1"/>
  <c r="J155" i="17" s="1"/>
  <c r="O155" i="17" s="1"/>
  <c r="I155" i="17"/>
  <c r="N155" i="17" s="1"/>
  <c r="L154" i="17" a="1"/>
  <c r="L154" i="17" s="1"/>
  <c r="M154" i="17" s="1"/>
  <c r="K154" i="17" a="1"/>
  <c r="K154" i="17" s="1"/>
  <c r="J154" i="17" a="1"/>
  <c r="J154" i="17" s="1"/>
  <c r="O154" i="17" s="1"/>
  <c r="I154" i="17"/>
  <c r="N154" i="17" s="1"/>
  <c r="L153" i="17" a="1"/>
  <c r="L153" i="17" s="1"/>
  <c r="M153" i="17" s="1"/>
  <c r="K153" i="17" a="1"/>
  <c r="K153" i="17" s="1"/>
  <c r="J153" i="17" a="1"/>
  <c r="J153" i="17" s="1"/>
  <c r="O153" i="17" s="1"/>
  <c r="I153" i="17"/>
  <c r="N153" i="17" s="1"/>
  <c r="L152" i="17" a="1"/>
  <c r="L152" i="17" s="1"/>
  <c r="M152" i="17" s="1"/>
  <c r="K152" i="17" a="1"/>
  <c r="K152" i="17" s="1"/>
  <c r="J152" i="17" a="1"/>
  <c r="J152" i="17" s="1"/>
  <c r="O152" i="17" s="1"/>
  <c r="I152" i="17"/>
  <c r="N152" i="17" s="1"/>
  <c r="L151" i="17" a="1"/>
  <c r="L151" i="17" s="1"/>
  <c r="M151" i="17" s="1"/>
  <c r="K151" i="17" a="1"/>
  <c r="K151" i="17" s="1"/>
  <c r="J151" i="17" a="1"/>
  <c r="J151" i="17" s="1"/>
  <c r="O151" i="17" s="1"/>
  <c r="I151" i="17"/>
  <c r="N151" i="17" s="1"/>
  <c r="L150" i="17" a="1"/>
  <c r="L150" i="17" s="1"/>
  <c r="M150" i="17" s="1"/>
  <c r="K150" i="17" a="1"/>
  <c r="K150" i="17" s="1"/>
  <c r="J150" i="17" a="1"/>
  <c r="J150" i="17" s="1"/>
  <c r="O150" i="17" s="1"/>
  <c r="I150" i="17"/>
  <c r="N150" i="17" s="1"/>
  <c r="L149" i="17" a="1"/>
  <c r="L149" i="17" s="1"/>
  <c r="M149" i="17" s="1"/>
  <c r="K149" i="17" a="1"/>
  <c r="K149" i="17" s="1"/>
  <c r="J149" i="17" a="1"/>
  <c r="J149" i="17" s="1"/>
  <c r="O149" i="17" s="1"/>
  <c r="I149" i="17"/>
  <c r="N149" i="17" s="1"/>
  <c r="L148" i="17" a="1"/>
  <c r="L148" i="17" s="1"/>
  <c r="M148" i="17" s="1"/>
  <c r="K148" i="17" a="1"/>
  <c r="K148" i="17" s="1"/>
  <c r="J148" i="17" a="1"/>
  <c r="J148" i="17" s="1"/>
  <c r="O148" i="17" s="1"/>
  <c r="I148" i="17"/>
  <c r="N148" i="17" s="1"/>
  <c r="L147" i="17" a="1"/>
  <c r="L147" i="17" s="1"/>
  <c r="M147" i="17" s="1"/>
  <c r="K147" i="17" a="1"/>
  <c r="K147" i="17" s="1"/>
  <c r="J147" i="17" a="1"/>
  <c r="J147" i="17" s="1"/>
  <c r="O147" i="17" s="1"/>
  <c r="I147" i="17"/>
  <c r="N147" i="17" s="1"/>
  <c r="L146" i="17" a="1"/>
  <c r="L146" i="17" s="1"/>
  <c r="M146" i="17" s="1"/>
  <c r="K146" i="17" a="1"/>
  <c r="K146" i="17" s="1"/>
  <c r="J146" i="17" a="1"/>
  <c r="J146" i="17" s="1"/>
  <c r="O146" i="17" s="1"/>
  <c r="I146" i="17"/>
  <c r="N146" i="17" s="1"/>
  <c r="L145" i="17" a="1"/>
  <c r="L145" i="17" s="1"/>
  <c r="M145" i="17" s="1"/>
  <c r="K145" i="17" a="1"/>
  <c r="K145" i="17" s="1"/>
  <c r="J145" i="17" a="1"/>
  <c r="J145" i="17" s="1"/>
  <c r="O145" i="17" s="1"/>
  <c r="I145" i="17"/>
  <c r="N145" i="17" s="1"/>
  <c r="L144" i="17" a="1"/>
  <c r="L144" i="17" s="1"/>
  <c r="M144" i="17" s="1"/>
  <c r="K144" i="17" a="1"/>
  <c r="K144" i="17" s="1"/>
  <c r="J144" i="17" a="1"/>
  <c r="J144" i="17" s="1"/>
  <c r="O144" i="17" s="1"/>
  <c r="I144" i="17"/>
  <c r="N144" i="17" s="1"/>
  <c r="L143" i="17" a="1"/>
  <c r="L143" i="17" s="1"/>
  <c r="M143" i="17" s="1"/>
  <c r="K143" i="17" a="1"/>
  <c r="K143" i="17" s="1"/>
  <c r="J143" i="17" a="1"/>
  <c r="J143" i="17" s="1"/>
  <c r="O143" i="17" s="1"/>
  <c r="I143" i="17"/>
  <c r="N143" i="17" s="1"/>
  <c r="L142" i="17" a="1"/>
  <c r="L142" i="17" s="1"/>
  <c r="M142" i="17" s="1"/>
  <c r="K142" i="17" a="1"/>
  <c r="K142" i="17" s="1"/>
  <c r="J142" i="17" a="1"/>
  <c r="J142" i="17" s="1"/>
  <c r="O142" i="17" s="1"/>
  <c r="I142" i="17"/>
  <c r="N142" i="17" s="1"/>
  <c r="L141" i="17" a="1"/>
  <c r="L141" i="17" s="1"/>
  <c r="M141" i="17" s="1"/>
  <c r="K141" i="17" a="1"/>
  <c r="K141" i="17" s="1"/>
  <c r="J141" i="17" a="1"/>
  <c r="J141" i="17" s="1"/>
  <c r="O141" i="17" s="1"/>
  <c r="I141" i="17"/>
  <c r="N141" i="17" s="1"/>
  <c r="L140" i="17" a="1"/>
  <c r="L140" i="17" s="1"/>
  <c r="M140" i="17" s="1"/>
  <c r="K140" i="17" a="1"/>
  <c r="K140" i="17" s="1"/>
  <c r="J140" i="17" a="1"/>
  <c r="J140" i="17" s="1"/>
  <c r="O140" i="17" s="1"/>
  <c r="I140" i="17"/>
  <c r="N140" i="17" s="1"/>
  <c r="L139" i="17"/>
  <c r="M139" i="17" s="1"/>
  <c r="L139" i="17" a="1"/>
  <c r="K139" i="17" a="1"/>
  <c r="K139" i="17" s="1"/>
  <c r="J139" i="17" a="1"/>
  <c r="J139" i="17" s="1"/>
  <c r="O139" i="17" s="1"/>
  <c r="I139" i="17"/>
  <c r="N139" i="17" s="1"/>
  <c r="L138" i="17" a="1"/>
  <c r="L138" i="17" s="1"/>
  <c r="M138" i="17" s="1"/>
  <c r="K138" i="17" a="1"/>
  <c r="K138" i="17" s="1"/>
  <c r="J138" i="17" a="1"/>
  <c r="J138" i="17" s="1"/>
  <c r="O138" i="17" s="1"/>
  <c r="I138" i="17"/>
  <c r="N138" i="17" s="1"/>
  <c r="L137" i="17" a="1"/>
  <c r="L137" i="17" s="1"/>
  <c r="M137" i="17" s="1"/>
  <c r="K137" i="17" a="1"/>
  <c r="K137" i="17" s="1"/>
  <c r="J137" i="17" a="1"/>
  <c r="J137" i="17" s="1"/>
  <c r="O137" i="17" s="1"/>
  <c r="I137" i="17"/>
  <c r="N137" i="17" s="1"/>
  <c r="L136" i="17" a="1"/>
  <c r="L136" i="17" s="1"/>
  <c r="M136" i="17" s="1"/>
  <c r="K136" i="17" a="1"/>
  <c r="K136" i="17" s="1"/>
  <c r="J136" i="17" a="1"/>
  <c r="J136" i="17" s="1"/>
  <c r="O136" i="17" s="1"/>
  <c r="I136" i="17"/>
  <c r="N136" i="17" s="1"/>
  <c r="L135" i="17" a="1"/>
  <c r="L135" i="17" s="1"/>
  <c r="M135" i="17" s="1"/>
  <c r="K135" i="17" a="1"/>
  <c r="K135" i="17" s="1"/>
  <c r="J135" i="17" a="1"/>
  <c r="J135" i="17" s="1"/>
  <c r="O135" i="17" s="1"/>
  <c r="I135" i="17"/>
  <c r="N135" i="17" s="1"/>
  <c r="L134" i="17" a="1"/>
  <c r="L134" i="17" s="1"/>
  <c r="M134" i="17" s="1"/>
  <c r="K134" i="17" a="1"/>
  <c r="K134" i="17" s="1"/>
  <c r="J134" i="17" a="1"/>
  <c r="J134" i="17" s="1"/>
  <c r="O134" i="17" s="1"/>
  <c r="I134" i="17"/>
  <c r="N134" i="17" s="1"/>
  <c r="L133" i="17" a="1"/>
  <c r="L133" i="17" s="1"/>
  <c r="M133" i="17" s="1"/>
  <c r="K133" i="17" a="1"/>
  <c r="K133" i="17" s="1"/>
  <c r="J133" i="17" a="1"/>
  <c r="J133" i="17" s="1"/>
  <c r="O133" i="17" s="1"/>
  <c r="I133" i="17"/>
  <c r="N133" i="17" s="1"/>
  <c r="L132" i="17" a="1"/>
  <c r="L132" i="17" s="1"/>
  <c r="M132" i="17" s="1"/>
  <c r="K132" i="17" a="1"/>
  <c r="K132" i="17" s="1"/>
  <c r="J132" i="17" a="1"/>
  <c r="J132" i="17" s="1"/>
  <c r="O132" i="17" s="1"/>
  <c r="I132" i="17"/>
  <c r="N132" i="17" s="1"/>
  <c r="L131" i="17" a="1"/>
  <c r="L131" i="17" s="1"/>
  <c r="M131" i="17" s="1"/>
  <c r="K131" i="17" a="1"/>
  <c r="K131" i="17" s="1"/>
  <c r="J131" i="17" a="1"/>
  <c r="J131" i="17" s="1"/>
  <c r="O131" i="17" s="1"/>
  <c r="I131" i="17"/>
  <c r="N131" i="17" s="1"/>
  <c r="L130" i="17" a="1"/>
  <c r="L130" i="17" s="1"/>
  <c r="M130" i="17" s="1"/>
  <c r="K130" i="17" a="1"/>
  <c r="K130" i="17" s="1"/>
  <c r="J130" i="17" a="1"/>
  <c r="J130" i="17" s="1"/>
  <c r="O130" i="17" s="1"/>
  <c r="I130" i="17"/>
  <c r="N130" i="17" s="1"/>
  <c r="L129" i="17" a="1"/>
  <c r="L129" i="17" s="1"/>
  <c r="M129" i="17" s="1"/>
  <c r="K129" i="17" a="1"/>
  <c r="K129" i="17" s="1"/>
  <c r="J129" i="17" a="1"/>
  <c r="J129" i="17" s="1"/>
  <c r="O129" i="17" s="1"/>
  <c r="I129" i="17"/>
  <c r="N129" i="17" s="1"/>
  <c r="L128" i="17" a="1"/>
  <c r="L128" i="17" s="1"/>
  <c r="M128" i="17" s="1"/>
  <c r="K128" i="17" a="1"/>
  <c r="K128" i="17" s="1"/>
  <c r="J128" i="17" a="1"/>
  <c r="J128" i="17" s="1"/>
  <c r="O128" i="17" s="1"/>
  <c r="I128" i="17"/>
  <c r="N128" i="17" s="1"/>
  <c r="L127" i="17" a="1"/>
  <c r="L127" i="17" s="1"/>
  <c r="M127" i="17" s="1"/>
  <c r="K127" i="17" a="1"/>
  <c r="K127" i="17" s="1"/>
  <c r="J127" i="17" a="1"/>
  <c r="J127" i="17" s="1"/>
  <c r="O127" i="17" s="1"/>
  <c r="I127" i="17"/>
  <c r="N127" i="17" s="1"/>
  <c r="L126" i="17" a="1"/>
  <c r="L126" i="17" s="1"/>
  <c r="M126" i="17" s="1"/>
  <c r="K126" i="17" a="1"/>
  <c r="K126" i="17" s="1"/>
  <c r="J126" i="17" a="1"/>
  <c r="J126" i="17" s="1"/>
  <c r="O126" i="17" s="1"/>
  <c r="I126" i="17"/>
  <c r="N126" i="17" s="1"/>
  <c r="L125" i="17" a="1"/>
  <c r="L125" i="17" s="1"/>
  <c r="M125" i="17" s="1"/>
  <c r="K125" i="17" a="1"/>
  <c r="K125" i="17" s="1"/>
  <c r="J125" i="17" a="1"/>
  <c r="J125" i="17" s="1"/>
  <c r="O125" i="17" s="1"/>
  <c r="I125" i="17"/>
  <c r="N125" i="17" s="1"/>
  <c r="L124" i="17" a="1"/>
  <c r="L124" i="17" s="1"/>
  <c r="M124" i="17" s="1"/>
  <c r="K124" i="17" a="1"/>
  <c r="K124" i="17" s="1"/>
  <c r="J124" i="17" a="1"/>
  <c r="J124" i="17" s="1"/>
  <c r="O124" i="17" s="1"/>
  <c r="I124" i="17"/>
  <c r="N124" i="17" s="1"/>
  <c r="L123" i="17" a="1"/>
  <c r="L123" i="17" s="1"/>
  <c r="M123" i="17" s="1"/>
  <c r="K123" i="17" a="1"/>
  <c r="K123" i="17" s="1"/>
  <c r="J123" i="17" a="1"/>
  <c r="J123" i="17" s="1"/>
  <c r="O123" i="17" s="1"/>
  <c r="I123" i="17"/>
  <c r="N123" i="17" s="1"/>
  <c r="L122" i="17" a="1"/>
  <c r="L122" i="17" s="1"/>
  <c r="M122" i="17" s="1"/>
  <c r="K122" i="17" a="1"/>
  <c r="K122" i="17" s="1"/>
  <c r="J122" i="17" a="1"/>
  <c r="J122" i="17" s="1"/>
  <c r="O122" i="17" s="1"/>
  <c r="I122" i="17"/>
  <c r="N122" i="17" s="1"/>
  <c r="L121" i="17" a="1"/>
  <c r="L121" i="17" s="1"/>
  <c r="M121" i="17" s="1"/>
  <c r="K121" i="17" a="1"/>
  <c r="K121" i="17" s="1"/>
  <c r="J121" i="17" a="1"/>
  <c r="J121" i="17" s="1"/>
  <c r="O121" i="17" s="1"/>
  <c r="I121" i="17"/>
  <c r="N121" i="17" s="1"/>
  <c r="L120" i="17" a="1"/>
  <c r="L120" i="17" s="1"/>
  <c r="M120" i="17" s="1"/>
  <c r="K120" i="17" a="1"/>
  <c r="K120" i="17" s="1"/>
  <c r="J120" i="17" a="1"/>
  <c r="J120" i="17" s="1"/>
  <c r="O120" i="17" s="1"/>
  <c r="I120" i="17"/>
  <c r="N120" i="17" s="1"/>
  <c r="L119" i="17" a="1"/>
  <c r="L119" i="17" s="1"/>
  <c r="M119" i="17" s="1"/>
  <c r="K119" i="17" a="1"/>
  <c r="K119" i="17" s="1"/>
  <c r="J119" i="17" a="1"/>
  <c r="J119" i="17" s="1"/>
  <c r="O119" i="17" s="1"/>
  <c r="I119" i="17"/>
  <c r="N119" i="17" s="1"/>
  <c r="L118" i="17" a="1"/>
  <c r="L118" i="17" s="1"/>
  <c r="M118" i="17" s="1"/>
  <c r="K118" i="17" a="1"/>
  <c r="K118" i="17" s="1"/>
  <c r="J118" i="17" a="1"/>
  <c r="J118" i="17" s="1"/>
  <c r="O118" i="17" s="1"/>
  <c r="I118" i="17"/>
  <c r="N118" i="17" s="1"/>
  <c r="L117" i="17" a="1"/>
  <c r="L117" i="17" s="1"/>
  <c r="M117" i="17" s="1"/>
  <c r="K117" i="17" a="1"/>
  <c r="K117" i="17" s="1"/>
  <c r="J117" i="17" a="1"/>
  <c r="J117" i="17" s="1"/>
  <c r="O117" i="17" s="1"/>
  <c r="I117" i="17"/>
  <c r="N117" i="17" s="1"/>
  <c r="L116" i="17" a="1"/>
  <c r="L116" i="17" s="1"/>
  <c r="M116" i="17" s="1"/>
  <c r="K116" i="17" a="1"/>
  <c r="K116" i="17" s="1"/>
  <c r="J116" i="17" a="1"/>
  <c r="J116" i="17" s="1"/>
  <c r="O116" i="17" s="1"/>
  <c r="I116" i="17"/>
  <c r="N116" i="17" s="1"/>
  <c r="L115" i="17" a="1"/>
  <c r="L115" i="17" s="1"/>
  <c r="M115" i="17" s="1"/>
  <c r="K115" i="17" a="1"/>
  <c r="K115" i="17" s="1"/>
  <c r="J115" i="17" a="1"/>
  <c r="J115" i="17" s="1"/>
  <c r="O115" i="17" s="1"/>
  <c r="I115" i="17"/>
  <c r="N115" i="17" s="1"/>
  <c r="L114" i="17" a="1"/>
  <c r="L114" i="17" s="1"/>
  <c r="M114" i="17" s="1"/>
  <c r="K114" i="17" a="1"/>
  <c r="K114" i="17" s="1"/>
  <c r="J114" i="17" a="1"/>
  <c r="J114" i="17" s="1"/>
  <c r="O114" i="17" s="1"/>
  <c r="I114" i="17"/>
  <c r="N114" i="17" s="1"/>
  <c r="L113" i="17" a="1"/>
  <c r="L113" i="17" s="1"/>
  <c r="M113" i="17" s="1"/>
  <c r="K113" i="17" a="1"/>
  <c r="K113" i="17" s="1"/>
  <c r="J113" i="17" a="1"/>
  <c r="J113" i="17" s="1"/>
  <c r="O113" i="17" s="1"/>
  <c r="I113" i="17"/>
  <c r="N113" i="17" s="1"/>
  <c r="L112" i="17" a="1"/>
  <c r="L112" i="17" s="1"/>
  <c r="M112" i="17" s="1"/>
  <c r="K112" i="17" a="1"/>
  <c r="K112" i="17" s="1"/>
  <c r="J112" i="17" a="1"/>
  <c r="J112" i="17" s="1"/>
  <c r="O112" i="17" s="1"/>
  <c r="I112" i="17"/>
  <c r="N112" i="17" s="1"/>
  <c r="L111" i="17" a="1"/>
  <c r="L111" i="17" s="1"/>
  <c r="M111" i="17" s="1"/>
  <c r="K111" i="17" a="1"/>
  <c r="K111" i="17" s="1"/>
  <c r="J111" i="17" a="1"/>
  <c r="J111" i="17" s="1"/>
  <c r="O111" i="17" s="1"/>
  <c r="I111" i="17"/>
  <c r="N111" i="17" s="1"/>
  <c r="L110" i="17" a="1"/>
  <c r="L110" i="17" s="1"/>
  <c r="M110" i="17" s="1"/>
  <c r="K110" i="17" a="1"/>
  <c r="K110" i="17" s="1"/>
  <c r="J110" i="17" a="1"/>
  <c r="J110" i="17" s="1"/>
  <c r="O110" i="17" s="1"/>
  <c r="I110" i="17"/>
  <c r="N110" i="17" s="1"/>
  <c r="L109" i="17" a="1"/>
  <c r="L109" i="17" s="1"/>
  <c r="M109" i="17" s="1"/>
  <c r="K109" i="17" a="1"/>
  <c r="K109" i="17" s="1"/>
  <c r="J109" i="17" a="1"/>
  <c r="J109" i="17" s="1"/>
  <c r="O109" i="17" s="1"/>
  <c r="I109" i="17"/>
  <c r="N109" i="17" s="1"/>
  <c r="L108" i="17" a="1"/>
  <c r="L108" i="17" s="1"/>
  <c r="M108" i="17" s="1"/>
  <c r="K108" i="17" a="1"/>
  <c r="K108" i="17" s="1"/>
  <c r="J108" i="17" a="1"/>
  <c r="J108" i="17" s="1"/>
  <c r="O108" i="17" s="1"/>
  <c r="I108" i="17"/>
  <c r="N108" i="17" s="1"/>
  <c r="L107" i="17" a="1"/>
  <c r="L107" i="17" s="1"/>
  <c r="M107" i="17" s="1"/>
  <c r="K107" i="17" a="1"/>
  <c r="K107" i="17" s="1"/>
  <c r="J107" i="17" a="1"/>
  <c r="J107" i="17" s="1"/>
  <c r="O107" i="17" s="1"/>
  <c r="I107" i="17"/>
  <c r="N107" i="17" s="1"/>
  <c r="L106" i="17" a="1"/>
  <c r="L106" i="17" s="1"/>
  <c r="M106" i="17" s="1"/>
  <c r="K106" i="17"/>
  <c r="K106" i="17" a="1"/>
  <c r="J106" i="17" a="1"/>
  <c r="J106" i="17" s="1"/>
  <c r="O106" i="17" s="1"/>
  <c r="I106" i="17"/>
  <c r="N106" i="17" s="1"/>
  <c r="L105" i="17" a="1"/>
  <c r="L105" i="17" s="1"/>
  <c r="M105" i="17" s="1"/>
  <c r="K105" i="17" a="1"/>
  <c r="K105" i="17" s="1"/>
  <c r="J105" i="17" a="1"/>
  <c r="J105" i="17" s="1"/>
  <c r="O105" i="17" s="1"/>
  <c r="I105" i="17"/>
  <c r="N105" i="17" s="1"/>
  <c r="L104" i="17" a="1"/>
  <c r="L104" i="17" s="1"/>
  <c r="M104" i="17" s="1"/>
  <c r="K104" i="17" a="1"/>
  <c r="K104" i="17" s="1"/>
  <c r="J104" i="17" a="1"/>
  <c r="J104" i="17" s="1"/>
  <c r="O104" i="17" s="1"/>
  <c r="I104" i="17"/>
  <c r="N104" i="17" s="1"/>
  <c r="L103" i="17" a="1"/>
  <c r="L103" i="17" s="1"/>
  <c r="M103" i="17" s="1"/>
  <c r="K103" i="17" a="1"/>
  <c r="K103" i="17" s="1"/>
  <c r="J103" i="17" a="1"/>
  <c r="J103" i="17" s="1"/>
  <c r="O103" i="17" s="1"/>
  <c r="I103" i="17"/>
  <c r="N103" i="17" s="1"/>
  <c r="L102" i="17" a="1"/>
  <c r="L102" i="17" s="1"/>
  <c r="M102" i="17" s="1"/>
  <c r="K102" i="17" a="1"/>
  <c r="K102" i="17" s="1"/>
  <c r="J102" i="17" a="1"/>
  <c r="J102" i="17" s="1"/>
  <c r="O102" i="17" s="1"/>
  <c r="I102" i="17"/>
  <c r="N102" i="17" s="1"/>
  <c r="L101" i="17" a="1"/>
  <c r="L101" i="17" s="1"/>
  <c r="M101" i="17" s="1"/>
  <c r="K101" i="17" a="1"/>
  <c r="K101" i="17" s="1"/>
  <c r="J101" i="17" a="1"/>
  <c r="J101" i="17" s="1"/>
  <c r="O101" i="17" s="1"/>
  <c r="I101" i="17"/>
  <c r="N101" i="17" s="1"/>
  <c r="L100" i="17" a="1"/>
  <c r="L100" i="17" s="1"/>
  <c r="M100" i="17" s="1"/>
  <c r="K100" i="17" a="1"/>
  <c r="K100" i="17" s="1"/>
  <c r="J100" i="17" a="1"/>
  <c r="J100" i="17" s="1"/>
  <c r="O100" i="17" s="1"/>
  <c r="I100" i="17"/>
  <c r="N100" i="17" s="1"/>
  <c r="L99" i="17" a="1"/>
  <c r="L99" i="17" s="1"/>
  <c r="M99" i="17" s="1"/>
  <c r="K99" i="17" a="1"/>
  <c r="K99" i="17" s="1"/>
  <c r="J99" i="17" a="1"/>
  <c r="J99" i="17" s="1"/>
  <c r="O99" i="17" s="1"/>
  <c r="I99" i="17"/>
  <c r="N99" i="17" s="1"/>
  <c r="L98" i="17" a="1"/>
  <c r="L98" i="17" s="1"/>
  <c r="M98" i="17" s="1"/>
  <c r="K98" i="17" a="1"/>
  <c r="K98" i="17" s="1"/>
  <c r="J98" i="17" a="1"/>
  <c r="J98" i="17" s="1"/>
  <c r="O98" i="17" s="1"/>
  <c r="I98" i="17"/>
  <c r="N98" i="17" s="1"/>
  <c r="L97" i="17" a="1"/>
  <c r="L97" i="17" s="1"/>
  <c r="M97" i="17" s="1"/>
  <c r="K97" i="17" a="1"/>
  <c r="K97" i="17" s="1"/>
  <c r="J97" i="17" a="1"/>
  <c r="J97" i="17" s="1"/>
  <c r="O97" i="17" s="1"/>
  <c r="I97" i="17"/>
  <c r="N97" i="17" s="1"/>
  <c r="L96" i="17" a="1"/>
  <c r="L96" i="17" s="1"/>
  <c r="M96" i="17" s="1"/>
  <c r="K96" i="17" a="1"/>
  <c r="K96" i="17" s="1"/>
  <c r="J96" i="17" a="1"/>
  <c r="J96" i="17" s="1"/>
  <c r="O96" i="17" s="1"/>
  <c r="I96" i="17"/>
  <c r="N96" i="17" s="1"/>
  <c r="L95" i="17" a="1"/>
  <c r="L95" i="17" s="1"/>
  <c r="M95" i="17" s="1"/>
  <c r="K95" i="17" a="1"/>
  <c r="K95" i="17" s="1"/>
  <c r="J95" i="17" a="1"/>
  <c r="J95" i="17" s="1"/>
  <c r="O95" i="17" s="1"/>
  <c r="I95" i="17"/>
  <c r="N95" i="17" s="1"/>
  <c r="L94" i="17" a="1"/>
  <c r="L94" i="17" s="1"/>
  <c r="M94" i="17" s="1"/>
  <c r="K94" i="17" a="1"/>
  <c r="K94" i="17" s="1"/>
  <c r="J94" i="17" a="1"/>
  <c r="J94" i="17" s="1"/>
  <c r="O94" i="17" s="1"/>
  <c r="I94" i="17"/>
  <c r="N94" i="17" s="1"/>
  <c r="L93" i="17" a="1"/>
  <c r="L93" i="17" s="1"/>
  <c r="M93" i="17" s="1"/>
  <c r="K93" i="17" a="1"/>
  <c r="K93" i="17" s="1"/>
  <c r="J93" i="17" a="1"/>
  <c r="J93" i="17" s="1"/>
  <c r="O93" i="17" s="1"/>
  <c r="I93" i="17"/>
  <c r="N93" i="17" s="1"/>
  <c r="L92" i="17" a="1"/>
  <c r="L92" i="17" s="1"/>
  <c r="M92" i="17" s="1"/>
  <c r="K92" i="17" a="1"/>
  <c r="K92" i="17" s="1"/>
  <c r="J92" i="17" a="1"/>
  <c r="J92" i="17" s="1"/>
  <c r="O92" i="17" s="1"/>
  <c r="I92" i="17"/>
  <c r="N92" i="17" s="1"/>
  <c r="L91" i="17" a="1"/>
  <c r="L91" i="17" s="1"/>
  <c r="M91" i="17" s="1"/>
  <c r="K91" i="17" a="1"/>
  <c r="K91" i="17" s="1"/>
  <c r="J91" i="17" a="1"/>
  <c r="J91" i="17" s="1"/>
  <c r="O91" i="17" s="1"/>
  <c r="I91" i="17"/>
  <c r="N91" i="17" s="1"/>
  <c r="L90" i="17" a="1"/>
  <c r="L90" i="17" s="1"/>
  <c r="M90" i="17" s="1"/>
  <c r="K90" i="17" a="1"/>
  <c r="K90" i="17" s="1"/>
  <c r="J90" i="17" a="1"/>
  <c r="J90" i="17" s="1"/>
  <c r="O90" i="17" s="1"/>
  <c r="I90" i="17"/>
  <c r="N90" i="17" s="1"/>
  <c r="L89" i="17" a="1"/>
  <c r="L89" i="17" s="1"/>
  <c r="M89" i="17" s="1"/>
  <c r="K89" i="17" a="1"/>
  <c r="K89" i="17" s="1"/>
  <c r="J89" i="17" a="1"/>
  <c r="J89" i="17" s="1"/>
  <c r="O89" i="17" s="1"/>
  <c r="I89" i="17"/>
  <c r="N89" i="17" s="1"/>
  <c r="L88" i="17" a="1"/>
  <c r="L88" i="17" s="1"/>
  <c r="M88" i="17" s="1"/>
  <c r="K88" i="17" a="1"/>
  <c r="K88" i="17" s="1"/>
  <c r="J88" i="17" a="1"/>
  <c r="J88" i="17" s="1"/>
  <c r="O88" i="17" s="1"/>
  <c r="I88" i="17"/>
  <c r="N88" i="17" s="1"/>
  <c r="L87" i="17" a="1"/>
  <c r="L87" i="17" s="1"/>
  <c r="M87" i="17" s="1"/>
  <c r="K87" i="17" a="1"/>
  <c r="K87" i="17" s="1"/>
  <c r="J87" i="17" a="1"/>
  <c r="J87" i="17" s="1"/>
  <c r="O87" i="17" s="1"/>
  <c r="I87" i="17"/>
  <c r="N87" i="17" s="1"/>
  <c r="L86" i="17" a="1"/>
  <c r="L86" i="17" s="1"/>
  <c r="M86" i="17" s="1"/>
  <c r="K86" i="17" a="1"/>
  <c r="K86" i="17" s="1"/>
  <c r="J86" i="17" a="1"/>
  <c r="J86" i="17" s="1"/>
  <c r="O86" i="17" s="1"/>
  <c r="I86" i="17"/>
  <c r="N86" i="17" s="1"/>
  <c r="L85" i="17" a="1"/>
  <c r="L85" i="17" s="1"/>
  <c r="M85" i="17" s="1"/>
  <c r="K85" i="17" a="1"/>
  <c r="K85" i="17" s="1"/>
  <c r="J85" i="17" a="1"/>
  <c r="J85" i="17" s="1"/>
  <c r="O85" i="17" s="1"/>
  <c r="I85" i="17"/>
  <c r="N85" i="17" s="1"/>
  <c r="L84" i="17" a="1"/>
  <c r="L84" i="17" s="1"/>
  <c r="M84" i="17" s="1"/>
  <c r="K84" i="17" a="1"/>
  <c r="K84" i="17" s="1"/>
  <c r="J84" i="17" a="1"/>
  <c r="J84" i="17" s="1"/>
  <c r="O84" i="17" s="1"/>
  <c r="I84" i="17"/>
  <c r="N84" i="17" s="1"/>
  <c r="L83" i="17" a="1"/>
  <c r="L83" i="17" s="1"/>
  <c r="M83" i="17" s="1"/>
  <c r="K83" i="17" a="1"/>
  <c r="K83" i="17" s="1"/>
  <c r="J83" i="17" a="1"/>
  <c r="J83" i="17" s="1"/>
  <c r="O83" i="17" s="1"/>
  <c r="I83" i="17"/>
  <c r="N83" i="17" s="1"/>
  <c r="L82" i="17" a="1"/>
  <c r="L82" i="17" s="1"/>
  <c r="M82" i="17" s="1"/>
  <c r="K82" i="17" a="1"/>
  <c r="K82" i="17" s="1"/>
  <c r="J82" i="17" a="1"/>
  <c r="J82" i="17" s="1"/>
  <c r="O82" i="17" s="1"/>
  <c r="I82" i="17"/>
  <c r="N82" i="17" s="1"/>
  <c r="L81" i="17" a="1"/>
  <c r="L81" i="17" s="1"/>
  <c r="M81" i="17" s="1"/>
  <c r="K81" i="17" a="1"/>
  <c r="K81" i="17" s="1"/>
  <c r="J81" i="17" a="1"/>
  <c r="J81" i="17" s="1"/>
  <c r="O81" i="17" s="1"/>
  <c r="I81" i="17"/>
  <c r="N81" i="17" s="1"/>
  <c r="L80" i="17" a="1"/>
  <c r="L80" i="17" s="1"/>
  <c r="M80" i="17" s="1"/>
  <c r="K80" i="17" a="1"/>
  <c r="K80" i="17" s="1"/>
  <c r="J80" i="17" a="1"/>
  <c r="J80" i="17" s="1"/>
  <c r="O80" i="17" s="1"/>
  <c r="I80" i="17"/>
  <c r="N80" i="17" s="1"/>
  <c r="L79" i="17" a="1"/>
  <c r="L79" i="17" s="1"/>
  <c r="M79" i="17" s="1"/>
  <c r="K79" i="17" a="1"/>
  <c r="K79" i="17" s="1"/>
  <c r="J79" i="17" a="1"/>
  <c r="J79" i="17" s="1"/>
  <c r="O79" i="17" s="1"/>
  <c r="I79" i="17"/>
  <c r="N79" i="17" s="1"/>
  <c r="L78" i="17" a="1"/>
  <c r="L78" i="17" s="1"/>
  <c r="M78" i="17" s="1"/>
  <c r="K78" i="17" a="1"/>
  <c r="K78" i="17" s="1"/>
  <c r="J78" i="17" a="1"/>
  <c r="J78" i="17" s="1"/>
  <c r="O78" i="17" s="1"/>
  <c r="I78" i="17"/>
  <c r="N78" i="17" s="1"/>
  <c r="L77" i="17" a="1"/>
  <c r="L77" i="17" s="1"/>
  <c r="M77" i="17" s="1"/>
  <c r="K77" i="17" a="1"/>
  <c r="K77" i="17" s="1"/>
  <c r="J77" i="17" a="1"/>
  <c r="J77" i="17" s="1"/>
  <c r="O77" i="17" s="1"/>
  <c r="I77" i="17"/>
  <c r="N77" i="17" s="1"/>
  <c r="L76" i="17" a="1"/>
  <c r="L76" i="17" s="1"/>
  <c r="M76" i="17" s="1"/>
  <c r="K76" i="17" a="1"/>
  <c r="K76" i="17" s="1"/>
  <c r="J76" i="17" a="1"/>
  <c r="J76" i="17" s="1"/>
  <c r="O76" i="17" s="1"/>
  <c r="I76" i="17"/>
  <c r="N76" i="17" s="1"/>
  <c r="L75" i="17" a="1"/>
  <c r="L75" i="17" s="1"/>
  <c r="M75" i="17" s="1"/>
  <c r="K75" i="17" a="1"/>
  <c r="K75" i="17" s="1"/>
  <c r="J75" i="17" a="1"/>
  <c r="J75" i="17" s="1"/>
  <c r="O75" i="17" s="1"/>
  <c r="I75" i="17"/>
  <c r="N75" i="17" s="1"/>
  <c r="L74" i="17" a="1"/>
  <c r="L74" i="17" s="1"/>
  <c r="M74" i="17" s="1"/>
  <c r="K74" i="17" a="1"/>
  <c r="K74" i="17" s="1"/>
  <c r="J74" i="17" a="1"/>
  <c r="J74" i="17" s="1"/>
  <c r="O74" i="17" s="1"/>
  <c r="I74" i="17"/>
  <c r="N74" i="17" s="1"/>
  <c r="L73" i="17" a="1"/>
  <c r="L73" i="17" s="1"/>
  <c r="M73" i="17" s="1"/>
  <c r="K73" i="17" a="1"/>
  <c r="K73" i="17" s="1"/>
  <c r="J73" i="17" a="1"/>
  <c r="J73" i="17" s="1"/>
  <c r="O73" i="17" s="1"/>
  <c r="I73" i="17"/>
  <c r="N73" i="17" s="1"/>
  <c r="L72" i="17" a="1"/>
  <c r="L72" i="17" s="1"/>
  <c r="M72" i="17" s="1"/>
  <c r="K72" i="17" a="1"/>
  <c r="K72" i="17" s="1"/>
  <c r="J72" i="17" a="1"/>
  <c r="J72" i="17" s="1"/>
  <c r="O72" i="17" s="1"/>
  <c r="I72" i="17"/>
  <c r="N72" i="17" s="1"/>
  <c r="L71" i="17" a="1"/>
  <c r="L71" i="17" s="1"/>
  <c r="M71" i="17" s="1"/>
  <c r="K71" i="17" a="1"/>
  <c r="K71" i="17" s="1"/>
  <c r="J71" i="17" a="1"/>
  <c r="J71" i="17" s="1"/>
  <c r="O71" i="17" s="1"/>
  <c r="I71" i="17"/>
  <c r="N71" i="17" s="1"/>
  <c r="L70" i="17" a="1"/>
  <c r="L70" i="17" s="1"/>
  <c r="M70" i="17" s="1"/>
  <c r="K70" i="17" a="1"/>
  <c r="K70" i="17" s="1"/>
  <c r="J70" i="17" a="1"/>
  <c r="J70" i="17" s="1"/>
  <c r="O70" i="17" s="1"/>
  <c r="I70" i="17"/>
  <c r="N70" i="17" s="1"/>
  <c r="L69" i="17" a="1"/>
  <c r="L69" i="17" s="1"/>
  <c r="M69" i="17" s="1"/>
  <c r="K69" i="17" a="1"/>
  <c r="K69" i="17" s="1"/>
  <c r="J69" i="17" a="1"/>
  <c r="J69" i="17" s="1"/>
  <c r="O69" i="17" s="1"/>
  <c r="I69" i="17"/>
  <c r="N69" i="17" s="1"/>
  <c r="L68" i="17" a="1"/>
  <c r="L68" i="17" s="1"/>
  <c r="M68" i="17" s="1"/>
  <c r="K68" i="17" a="1"/>
  <c r="K68" i="17" s="1"/>
  <c r="J68" i="17" a="1"/>
  <c r="J68" i="17" s="1"/>
  <c r="O68" i="17" s="1"/>
  <c r="I68" i="17"/>
  <c r="N68" i="17" s="1"/>
  <c r="L67" i="17" a="1"/>
  <c r="L67" i="17" s="1"/>
  <c r="M67" i="17" s="1"/>
  <c r="K67" i="17" a="1"/>
  <c r="K67" i="17" s="1"/>
  <c r="J67" i="17" a="1"/>
  <c r="J67" i="17" s="1"/>
  <c r="O67" i="17" s="1"/>
  <c r="I67" i="17"/>
  <c r="N67" i="17" s="1"/>
  <c r="L66" i="17" a="1"/>
  <c r="L66" i="17" s="1"/>
  <c r="M66" i="17" s="1"/>
  <c r="K66" i="17" a="1"/>
  <c r="K66" i="17" s="1"/>
  <c r="J66" i="17" a="1"/>
  <c r="J66" i="17" s="1"/>
  <c r="O66" i="17" s="1"/>
  <c r="I66" i="17"/>
  <c r="N66" i="17" s="1"/>
  <c r="L65" i="17" a="1"/>
  <c r="L65" i="17" s="1"/>
  <c r="M65" i="17" s="1"/>
  <c r="K65" i="17" a="1"/>
  <c r="K65" i="17" s="1"/>
  <c r="J65" i="17" a="1"/>
  <c r="J65" i="17" s="1"/>
  <c r="O65" i="17" s="1"/>
  <c r="I65" i="17"/>
  <c r="N65" i="17" s="1"/>
  <c r="L64" i="17" a="1"/>
  <c r="L64" i="17" s="1"/>
  <c r="M64" i="17" s="1"/>
  <c r="K64" i="17" a="1"/>
  <c r="K64" i="17" s="1"/>
  <c r="J64" i="17" a="1"/>
  <c r="J64" i="17" s="1"/>
  <c r="O64" i="17" s="1"/>
  <c r="I64" i="17"/>
  <c r="N64" i="17" s="1"/>
  <c r="L63" i="17" a="1"/>
  <c r="L63" i="17" s="1"/>
  <c r="M63" i="17" s="1"/>
  <c r="K63" i="17" a="1"/>
  <c r="K63" i="17" s="1"/>
  <c r="J63" i="17" a="1"/>
  <c r="J63" i="17" s="1"/>
  <c r="O63" i="17" s="1"/>
  <c r="I63" i="17"/>
  <c r="N63" i="17" s="1"/>
  <c r="L62" i="17" a="1"/>
  <c r="L62" i="17" s="1"/>
  <c r="M62" i="17" s="1"/>
  <c r="K62" i="17" a="1"/>
  <c r="K62" i="17" s="1"/>
  <c r="J62" i="17" a="1"/>
  <c r="J62" i="17" s="1"/>
  <c r="O62" i="17" s="1"/>
  <c r="I62" i="17"/>
  <c r="N62" i="17" s="1"/>
  <c r="L61" i="17" a="1"/>
  <c r="L61" i="17" s="1"/>
  <c r="M61" i="17" s="1"/>
  <c r="K61" i="17" a="1"/>
  <c r="K61" i="17" s="1"/>
  <c r="J61" i="17" a="1"/>
  <c r="J61" i="17" s="1"/>
  <c r="O61" i="17" s="1"/>
  <c r="I61" i="17"/>
  <c r="N61" i="17" s="1"/>
  <c r="L60" i="17" a="1"/>
  <c r="L60" i="17" s="1"/>
  <c r="M60" i="17" s="1"/>
  <c r="K60" i="17" a="1"/>
  <c r="K60" i="17" s="1"/>
  <c r="J60" i="17" a="1"/>
  <c r="J60" i="17" s="1"/>
  <c r="O60" i="17" s="1"/>
  <c r="I60" i="17"/>
  <c r="N60" i="17" s="1"/>
  <c r="L59" i="17" a="1"/>
  <c r="L59" i="17" s="1"/>
  <c r="M59" i="17" s="1"/>
  <c r="K59" i="17" a="1"/>
  <c r="K59" i="17" s="1"/>
  <c r="J59" i="17" a="1"/>
  <c r="J59" i="17" s="1"/>
  <c r="O59" i="17" s="1"/>
  <c r="I59" i="17"/>
  <c r="N59" i="17" s="1"/>
  <c r="L58" i="17" a="1"/>
  <c r="L58" i="17" s="1"/>
  <c r="M58" i="17" s="1"/>
  <c r="K58" i="17" a="1"/>
  <c r="K58" i="17" s="1"/>
  <c r="J58" i="17" a="1"/>
  <c r="J58" i="17" s="1"/>
  <c r="O58" i="17" s="1"/>
  <c r="I58" i="17"/>
  <c r="N58" i="17" s="1"/>
  <c r="L57" i="17" a="1"/>
  <c r="L57" i="17" s="1"/>
  <c r="M57" i="17" s="1"/>
  <c r="K57" i="17" a="1"/>
  <c r="K57" i="17" s="1"/>
  <c r="J57" i="17" a="1"/>
  <c r="J57" i="17" s="1"/>
  <c r="O57" i="17" s="1"/>
  <c r="I57" i="17"/>
  <c r="N57" i="17" s="1"/>
  <c r="L56" i="17" a="1"/>
  <c r="L56" i="17" s="1"/>
  <c r="M56" i="17" s="1"/>
  <c r="K56" i="17" a="1"/>
  <c r="K56" i="17" s="1"/>
  <c r="J56" i="17" a="1"/>
  <c r="J56" i="17" s="1"/>
  <c r="O56" i="17" s="1"/>
  <c r="I56" i="17"/>
  <c r="N56" i="17" s="1"/>
  <c r="L55" i="17" a="1"/>
  <c r="L55" i="17" s="1"/>
  <c r="M55" i="17" s="1"/>
  <c r="K55" i="17"/>
  <c r="K55" i="17" a="1"/>
  <c r="J55" i="17" a="1"/>
  <c r="J55" i="17" s="1"/>
  <c r="O55" i="17" s="1"/>
  <c r="I55" i="17"/>
  <c r="N55" i="17" s="1"/>
  <c r="L54" i="17" a="1"/>
  <c r="L54" i="17" s="1"/>
  <c r="M54" i="17" s="1"/>
  <c r="K54" i="17" a="1"/>
  <c r="K54" i="17" s="1"/>
  <c r="J54" i="17" a="1"/>
  <c r="J54" i="17" s="1"/>
  <c r="O54" i="17" s="1"/>
  <c r="I54" i="17"/>
  <c r="N54" i="17" s="1"/>
  <c r="L53" i="17" a="1"/>
  <c r="L53" i="17" s="1"/>
  <c r="M53" i="17" s="1"/>
  <c r="K53" i="17" a="1"/>
  <c r="K53" i="17" s="1"/>
  <c r="J53" i="17"/>
  <c r="O53" i="17" s="1"/>
  <c r="J53" i="17" a="1"/>
  <c r="I53" i="17"/>
  <c r="N53" i="17" s="1"/>
  <c r="L52" i="17" a="1"/>
  <c r="L52" i="17" s="1"/>
  <c r="M52" i="17" s="1"/>
  <c r="K52" i="17" a="1"/>
  <c r="K52" i="17" s="1"/>
  <c r="J52" i="17" a="1"/>
  <c r="J52" i="17" s="1"/>
  <c r="O52" i="17" s="1"/>
  <c r="I52" i="17"/>
  <c r="N52" i="17" s="1"/>
  <c r="L51" i="17" a="1"/>
  <c r="L51" i="17" s="1"/>
  <c r="M51" i="17" s="1"/>
  <c r="K51" i="17" a="1"/>
  <c r="K51" i="17" s="1"/>
  <c r="J51" i="17" a="1"/>
  <c r="J51" i="17" s="1"/>
  <c r="O51" i="17" s="1"/>
  <c r="I51" i="17"/>
  <c r="N51" i="17" s="1"/>
  <c r="L50" i="17" a="1"/>
  <c r="L50" i="17" s="1"/>
  <c r="M50" i="17" s="1"/>
  <c r="K50" i="17" a="1"/>
  <c r="K50" i="17" s="1"/>
  <c r="J50" i="17" a="1"/>
  <c r="J50" i="17" s="1"/>
  <c r="O50" i="17" s="1"/>
  <c r="I50" i="17"/>
  <c r="N50" i="17" s="1"/>
  <c r="L49" i="17" a="1"/>
  <c r="L49" i="17" s="1"/>
  <c r="M49" i="17" s="1"/>
  <c r="K49" i="17" a="1"/>
  <c r="K49" i="17" s="1"/>
  <c r="J49" i="17" a="1"/>
  <c r="J49" i="17" s="1"/>
  <c r="O49" i="17" s="1"/>
  <c r="I49" i="17"/>
  <c r="N49" i="17" s="1"/>
  <c r="L48" i="17" a="1"/>
  <c r="L48" i="17" s="1"/>
  <c r="M48" i="17" s="1"/>
  <c r="K48" i="17" a="1"/>
  <c r="K48" i="17" s="1"/>
  <c r="J48" i="17" a="1"/>
  <c r="J48" i="17" s="1"/>
  <c r="O48" i="17" s="1"/>
  <c r="I48" i="17"/>
  <c r="N48" i="17" s="1"/>
  <c r="L47" i="17" a="1"/>
  <c r="L47" i="17" s="1"/>
  <c r="M47" i="17" s="1"/>
  <c r="K47" i="17" a="1"/>
  <c r="K47" i="17" s="1"/>
  <c r="J47" i="17" a="1"/>
  <c r="J47" i="17" s="1"/>
  <c r="O47" i="17" s="1"/>
  <c r="I47" i="17"/>
  <c r="N47" i="17" s="1"/>
  <c r="L46" i="17" a="1"/>
  <c r="L46" i="17" s="1"/>
  <c r="M46" i="17" s="1"/>
  <c r="K46" i="17" a="1"/>
  <c r="K46" i="17" s="1"/>
  <c r="J46" i="17" a="1"/>
  <c r="J46" i="17" s="1"/>
  <c r="O46" i="17" s="1"/>
  <c r="I46" i="17"/>
  <c r="N46" i="17" s="1"/>
  <c r="L45" i="17" a="1"/>
  <c r="L45" i="17" s="1"/>
  <c r="M45" i="17" s="1"/>
  <c r="K45" i="17" a="1"/>
  <c r="K45" i="17" s="1"/>
  <c r="J45" i="17" a="1"/>
  <c r="J45" i="17" s="1"/>
  <c r="O45" i="17" s="1"/>
  <c r="I45" i="17"/>
  <c r="N45" i="17" s="1"/>
  <c r="L44" i="17" a="1"/>
  <c r="L44" i="17" s="1"/>
  <c r="M44" i="17" s="1"/>
  <c r="K44" i="17" a="1"/>
  <c r="K44" i="17" s="1"/>
  <c r="J44" i="17" a="1"/>
  <c r="J44" i="17" s="1"/>
  <c r="O44" i="17" s="1"/>
  <c r="I44" i="17"/>
  <c r="N44" i="17" s="1"/>
  <c r="L43" i="17" a="1"/>
  <c r="L43" i="17" s="1"/>
  <c r="M43" i="17" s="1"/>
  <c r="K43" i="17" a="1"/>
  <c r="K43" i="17" s="1"/>
  <c r="J43" i="17" a="1"/>
  <c r="J43" i="17" s="1"/>
  <c r="O43" i="17" s="1"/>
  <c r="I43" i="17"/>
  <c r="N43" i="17" s="1"/>
  <c r="L42" i="17" a="1"/>
  <c r="L42" i="17" s="1"/>
  <c r="M42" i="17" s="1"/>
  <c r="K42" i="17" a="1"/>
  <c r="K42" i="17" s="1"/>
  <c r="J42" i="17" a="1"/>
  <c r="J42" i="17" s="1"/>
  <c r="O42" i="17" s="1"/>
  <c r="I42" i="17"/>
  <c r="N42" i="17" s="1"/>
  <c r="L41" i="17" a="1"/>
  <c r="L41" i="17" s="1"/>
  <c r="M41" i="17" s="1"/>
  <c r="K41" i="17" a="1"/>
  <c r="K41" i="17" s="1"/>
  <c r="J41" i="17" a="1"/>
  <c r="J41" i="17" s="1"/>
  <c r="O41" i="17" s="1"/>
  <c r="I41" i="17"/>
  <c r="N41" i="17" s="1"/>
  <c r="L40" i="17" a="1"/>
  <c r="L40" i="17" s="1"/>
  <c r="M40" i="17" s="1"/>
  <c r="K40" i="17" a="1"/>
  <c r="K40" i="17" s="1"/>
  <c r="J40" i="17" a="1"/>
  <c r="J40" i="17" s="1"/>
  <c r="O40" i="17" s="1"/>
  <c r="I40" i="17"/>
  <c r="N40" i="17" s="1"/>
  <c r="L39" i="17" a="1"/>
  <c r="L39" i="17" s="1"/>
  <c r="M39" i="17" s="1"/>
  <c r="K39" i="17" a="1"/>
  <c r="K39" i="17" s="1"/>
  <c r="J39" i="17" a="1"/>
  <c r="J39" i="17" s="1"/>
  <c r="O39" i="17" s="1"/>
  <c r="I39" i="17"/>
  <c r="N39" i="17" s="1"/>
  <c r="L38" i="17" a="1"/>
  <c r="L38" i="17" s="1"/>
  <c r="M38" i="17" s="1"/>
  <c r="K38" i="17" a="1"/>
  <c r="K38" i="17" s="1"/>
  <c r="J38" i="17" a="1"/>
  <c r="J38" i="17" s="1"/>
  <c r="O38" i="17" s="1"/>
  <c r="I38" i="17"/>
  <c r="N38" i="17" s="1"/>
  <c r="L37" i="17" a="1"/>
  <c r="L37" i="17" s="1"/>
  <c r="M37" i="17" s="1"/>
  <c r="K37" i="17" a="1"/>
  <c r="K37" i="17" s="1"/>
  <c r="J37" i="17" a="1"/>
  <c r="J37" i="17" s="1"/>
  <c r="O37" i="17" s="1"/>
  <c r="I37" i="17"/>
  <c r="N37" i="17" s="1"/>
  <c r="L36" i="17" a="1"/>
  <c r="L36" i="17" s="1"/>
  <c r="M36" i="17" s="1"/>
  <c r="K36" i="17" a="1"/>
  <c r="K36" i="17" s="1"/>
  <c r="J36" i="17" a="1"/>
  <c r="J36" i="17" s="1"/>
  <c r="O36" i="17" s="1"/>
  <c r="I36" i="17"/>
  <c r="N36" i="17" s="1"/>
  <c r="L35" i="17" a="1"/>
  <c r="L35" i="17" s="1"/>
  <c r="M35" i="17" s="1"/>
  <c r="K35" i="17" a="1"/>
  <c r="K35" i="17" s="1"/>
  <c r="J35" i="17" a="1"/>
  <c r="J35" i="17" s="1"/>
  <c r="O35" i="17" s="1"/>
  <c r="I35" i="17"/>
  <c r="N35" i="17" s="1"/>
  <c r="L34" i="17" a="1"/>
  <c r="L34" i="17" s="1"/>
  <c r="M34" i="17" s="1"/>
  <c r="K34" i="17" a="1"/>
  <c r="K34" i="17" s="1"/>
  <c r="J34" i="17" a="1"/>
  <c r="J34" i="17" s="1"/>
  <c r="O34" i="17" s="1"/>
  <c r="I34" i="17"/>
  <c r="N34" i="17" s="1"/>
  <c r="L33" i="17" a="1"/>
  <c r="L33" i="17" s="1"/>
  <c r="M33" i="17" s="1"/>
  <c r="K33" i="17" a="1"/>
  <c r="K33" i="17" s="1"/>
  <c r="J33" i="17" a="1"/>
  <c r="J33" i="17" s="1"/>
  <c r="O33" i="17" s="1"/>
  <c r="I33" i="17"/>
  <c r="N33" i="17" s="1"/>
  <c r="L32" i="17" a="1"/>
  <c r="L32" i="17" s="1"/>
  <c r="M32" i="17" s="1"/>
  <c r="K32" i="17" a="1"/>
  <c r="K32" i="17" s="1"/>
  <c r="J32" i="17" a="1"/>
  <c r="J32" i="17" s="1"/>
  <c r="O32" i="17" s="1"/>
  <c r="I32" i="17"/>
  <c r="N32" i="17" s="1"/>
  <c r="L31" i="17" a="1"/>
  <c r="L31" i="17" s="1"/>
  <c r="M31" i="17" s="1"/>
  <c r="K31" i="17" a="1"/>
  <c r="K31" i="17" s="1"/>
  <c r="J31" i="17" a="1"/>
  <c r="J31" i="17" s="1"/>
  <c r="O31" i="17" s="1"/>
  <c r="I31" i="17"/>
  <c r="N31" i="17" s="1"/>
  <c r="L30" i="17" a="1"/>
  <c r="L30" i="17" s="1"/>
  <c r="M30" i="17" s="1"/>
  <c r="K30" i="17" a="1"/>
  <c r="K30" i="17" s="1"/>
  <c r="J30" i="17" a="1"/>
  <c r="J30" i="17" s="1"/>
  <c r="O30" i="17" s="1"/>
  <c r="I30" i="17"/>
  <c r="N30" i="17" s="1"/>
  <c r="L29" i="17" a="1"/>
  <c r="L29" i="17" s="1"/>
  <c r="M29" i="17" s="1"/>
  <c r="K29" i="17" a="1"/>
  <c r="K29" i="17" s="1"/>
  <c r="J29" i="17" a="1"/>
  <c r="J29" i="17" s="1"/>
  <c r="O29" i="17" s="1"/>
  <c r="I29" i="17"/>
  <c r="N29" i="17" s="1"/>
  <c r="L28" i="17" a="1"/>
  <c r="L28" i="17" s="1"/>
  <c r="M28" i="17" s="1"/>
  <c r="K28" i="17" a="1"/>
  <c r="K28" i="17" s="1"/>
  <c r="J28" i="17" a="1"/>
  <c r="J28" i="17" s="1"/>
  <c r="O28" i="17" s="1"/>
  <c r="I28" i="17"/>
  <c r="N28" i="17" s="1"/>
  <c r="L27" i="17" a="1"/>
  <c r="L27" i="17" s="1"/>
  <c r="M27" i="17" s="1"/>
  <c r="K27" i="17" a="1"/>
  <c r="K27" i="17" s="1"/>
  <c r="J27" i="17" a="1"/>
  <c r="J27" i="17" s="1"/>
  <c r="O27" i="17" s="1"/>
  <c r="I27" i="17"/>
  <c r="N27" i="17" s="1"/>
  <c r="L26" i="17" a="1"/>
  <c r="L26" i="17" s="1"/>
  <c r="M26" i="17" s="1"/>
  <c r="K26" i="17" a="1"/>
  <c r="K26" i="17" s="1"/>
  <c r="J26" i="17" a="1"/>
  <c r="J26" i="17" s="1"/>
  <c r="O26" i="17" s="1"/>
  <c r="I26" i="17"/>
  <c r="N26" i="17" s="1"/>
  <c r="L25" i="17" a="1"/>
  <c r="L25" i="17" s="1"/>
  <c r="M25" i="17" s="1"/>
  <c r="K25" i="17" a="1"/>
  <c r="K25" i="17" s="1"/>
  <c r="J25" i="17" a="1"/>
  <c r="J25" i="17" s="1"/>
  <c r="O25" i="17" s="1"/>
  <c r="I25" i="17"/>
  <c r="N25" i="17" s="1"/>
  <c r="L24" i="17" a="1"/>
  <c r="L24" i="17" s="1"/>
  <c r="M24" i="17" s="1"/>
  <c r="K24" i="17" a="1"/>
  <c r="K24" i="17" s="1"/>
  <c r="J24" i="17" a="1"/>
  <c r="J24" i="17" s="1"/>
  <c r="O24" i="17" s="1"/>
  <c r="I24" i="17"/>
  <c r="N24" i="17" s="1"/>
  <c r="L23" i="17" a="1"/>
  <c r="L23" i="17" s="1"/>
  <c r="M23" i="17" s="1"/>
  <c r="K23" i="17" a="1"/>
  <c r="K23" i="17" s="1"/>
  <c r="J23" i="17" a="1"/>
  <c r="J23" i="17" s="1"/>
  <c r="O23" i="17" s="1"/>
  <c r="I23" i="17"/>
  <c r="N23" i="17" s="1"/>
  <c r="L22" i="17" a="1"/>
  <c r="L22" i="17" s="1"/>
  <c r="M22" i="17" s="1"/>
  <c r="K22" i="17" a="1"/>
  <c r="K22" i="17" s="1"/>
  <c r="J22" i="17" a="1"/>
  <c r="J22" i="17" s="1"/>
  <c r="O22" i="17" s="1"/>
  <c r="I22" i="17"/>
  <c r="N22" i="17" s="1"/>
  <c r="L21" i="17" a="1"/>
  <c r="L21" i="17" s="1"/>
  <c r="M21" i="17" s="1"/>
  <c r="K21" i="17" a="1"/>
  <c r="K21" i="17" s="1"/>
  <c r="J21" i="17" a="1"/>
  <c r="J21" i="17" s="1"/>
  <c r="O21" i="17" s="1"/>
  <c r="I21" i="17"/>
  <c r="N21" i="17" s="1"/>
  <c r="L20" i="17" a="1"/>
  <c r="L20" i="17" s="1"/>
  <c r="M20" i="17" s="1"/>
  <c r="K20" i="17" a="1"/>
  <c r="K20" i="17" s="1"/>
  <c r="J20" i="17" a="1"/>
  <c r="J20" i="17" s="1"/>
  <c r="O20" i="17" s="1"/>
  <c r="I20" i="17"/>
  <c r="N20" i="17" s="1"/>
  <c r="L19" i="17" a="1"/>
  <c r="L19" i="17" s="1"/>
  <c r="M19" i="17" s="1"/>
  <c r="K19" i="17" a="1"/>
  <c r="K19" i="17" s="1"/>
  <c r="J19" i="17" a="1"/>
  <c r="J19" i="17" s="1"/>
  <c r="O19" i="17" s="1"/>
  <c r="I19" i="17"/>
  <c r="N19" i="17" s="1"/>
  <c r="L18" i="17" a="1"/>
  <c r="L18" i="17" s="1"/>
  <c r="M18" i="17" s="1"/>
  <c r="K18" i="17" a="1"/>
  <c r="K18" i="17" s="1"/>
  <c r="J18" i="17" a="1"/>
  <c r="J18" i="17" s="1"/>
  <c r="O18" i="17" s="1"/>
  <c r="I18" i="17"/>
  <c r="N18" i="17" s="1"/>
  <c r="L17" i="17" a="1"/>
  <c r="L17" i="17" s="1"/>
  <c r="M17" i="17" s="1"/>
  <c r="K17" i="17" a="1"/>
  <c r="K17" i="17" s="1"/>
  <c r="J17" i="17" a="1"/>
  <c r="J17" i="17" s="1"/>
  <c r="O17" i="17" s="1"/>
  <c r="I17" i="17"/>
  <c r="N17" i="17" s="1"/>
  <c r="L16" i="17" a="1"/>
  <c r="L16" i="17" s="1"/>
  <c r="M16" i="17" s="1"/>
  <c r="K16" i="17" a="1"/>
  <c r="K16" i="17" s="1"/>
  <c r="J16" i="17" a="1"/>
  <c r="J16" i="17" s="1"/>
  <c r="O16" i="17" s="1"/>
  <c r="I16" i="17"/>
  <c r="N16" i="17" s="1"/>
  <c r="L15" i="17" a="1"/>
  <c r="L15" i="17" s="1"/>
  <c r="M15" i="17" s="1"/>
  <c r="K15" i="17" a="1"/>
  <c r="K15" i="17" s="1"/>
  <c r="J15" i="17" a="1"/>
  <c r="J15" i="17" s="1"/>
  <c r="O15" i="17" s="1"/>
  <c r="I15" i="17"/>
  <c r="N15" i="17" s="1"/>
  <c r="L14" i="17" a="1"/>
  <c r="L14" i="17" s="1"/>
  <c r="M14" i="17" s="1"/>
  <c r="K14" i="17" a="1"/>
  <c r="K14" i="17" s="1"/>
  <c r="J14" i="17" a="1"/>
  <c r="J14" i="17" s="1"/>
  <c r="O14" i="17" s="1"/>
  <c r="I14" i="17"/>
  <c r="N14" i="17" s="1"/>
  <c r="L13" i="17" a="1"/>
  <c r="L13" i="17" s="1"/>
  <c r="M13" i="17" s="1"/>
  <c r="K13" i="17" a="1"/>
  <c r="K13" i="17" s="1"/>
  <c r="J13" i="17" a="1"/>
  <c r="J13" i="17" s="1"/>
  <c r="O13" i="17" s="1"/>
  <c r="I13" i="17"/>
  <c r="N13" i="17" s="1"/>
  <c r="L12" i="17" a="1"/>
  <c r="L12" i="17" s="1"/>
  <c r="M12" i="17" s="1"/>
  <c r="K12" i="17" a="1"/>
  <c r="K12" i="17" s="1"/>
  <c r="J12" i="17" a="1"/>
  <c r="J12" i="17" s="1"/>
  <c r="O12" i="17" s="1"/>
  <c r="I12" i="17"/>
  <c r="N12" i="17" s="1"/>
  <c r="L11" i="17" a="1"/>
  <c r="L11" i="17" s="1"/>
  <c r="M11" i="17" s="1"/>
  <c r="K11" i="17" a="1"/>
  <c r="K11" i="17" s="1"/>
  <c r="J11" i="17" a="1"/>
  <c r="J11" i="17" s="1"/>
  <c r="O11" i="17" s="1"/>
  <c r="I11" i="17"/>
  <c r="N11" i="17" s="1"/>
  <c r="L10" i="17" a="1"/>
  <c r="L10" i="17" s="1"/>
  <c r="M10" i="17" s="1"/>
  <c r="K10" i="17" a="1"/>
  <c r="K10" i="17" s="1"/>
  <c r="J10" i="17" a="1"/>
  <c r="J10" i="17" s="1"/>
  <c r="O10" i="17" s="1"/>
  <c r="I10" i="17"/>
  <c r="N10" i="17" s="1"/>
  <c r="L9" i="17" a="1"/>
  <c r="L9" i="17" s="1"/>
  <c r="M9" i="17" s="1"/>
  <c r="K9" i="17" a="1"/>
  <c r="K9" i="17" s="1"/>
  <c r="J9" i="17" a="1"/>
  <c r="J9" i="17" s="1"/>
  <c r="O9" i="17" s="1"/>
  <c r="I9" i="17"/>
  <c r="N9" i="17" s="1"/>
  <c r="L8" i="17" a="1"/>
  <c r="L8" i="17" s="1"/>
  <c r="M8" i="17" s="1"/>
  <c r="K8" i="17" a="1"/>
  <c r="K8" i="17" s="1"/>
  <c r="J8" i="17" a="1"/>
  <c r="J8" i="17" s="1"/>
  <c r="O8" i="17" s="1"/>
  <c r="I8" i="17"/>
  <c r="N8" i="17" s="1"/>
  <c r="L7" i="17" a="1"/>
  <c r="L7" i="17" s="1"/>
  <c r="M7" i="17" s="1"/>
  <c r="K7" i="17" a="1"/>
  <c r="K7" i="17" s="1"/>
  <c r="J7" i="17" a="1"/>
  <c r="J7" i="17" s="1"/>
  <c r="O7" i="17" s="1"/>
  <c r="I7" i="17"/>
  <c r="N7" i="17" s="1"/>
  <c r="L6" i="17" a="1"/>
  <c r="L6" i="17" s="1"/>
  <c r="M6" i="17" s="1"/>
  <c r="K6" i="17" a="1"/>
  <c r="K6" i="17" s="1"/>
  <c r="J6" i="17" a="1"/>
  <c r="J6" i="17" s="1"/>
  <c r="O6" i="17" s="1"/>
  <c r="I6" i="17"/>
  <c r="N6" i="17" s="1"/>
  <c r="L5" i="17" a="1"/>
  <c r="L5" i="17" s="1"/>
  <c r="M5" i="17" s="1"/>
  <c r="K5" i="17" a="1"/>
  <c r="K5" i="17" s="1"/>
  <c r="J5" i="17" a="1"/>
  <c r="J5" i="17" s="1"/>
  <c r="O5" i="17" s="1"/>
  <c r="I5" i="17"/>
  <c r="N5" i="17" s="1"/>
  <c r="L4" i="17" a="1"/>
  <c r="L4" i="17" s="1"/>
  <c r="M4" i="17" s="1"/>
  <c r="K4" i="17" a="1"/>
  <c r="K4" i="17" s="1"/>
  <c r="J4" i="17" a="1"/>
  <c r="J4" i="17" s="1"/>
  <c r="O4" i="17" s="1"/>
  <c r="L3" i="17"/>
  <c r="M3" i="17" s="1"/>
  <c r="L3" i="17" a="1"/>
  <c r="K3" i="17" a="1"/>
  <c r="K3" i="17" s="1"/>
  <c r="J3" i="17" a="1"/>
  <c r="J3" i="17" s="1"/>
  <c r="O3" i="17" s="1"/>
  <c r="I3" i="17"/>
  <c r="N3" i="17" s="1"/>
  <c r="I2" i="17"/>
  <c r="N2" i="17" s="1"/>
  <c r="K2" i="17" a="1"/>
  <c r="K2" i="17" s="1"/>
  <c r="J2" i="17" a="1"/>
  <c r="J2" i="17" s="1"/>
  <c r="O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20" i="17"/>
  <c r="F21" i="17"/>
  <c r="F22" i="17"/>
  <c r="F23" i="17"/>
  <c r="F24" i="17"/>
  <c r="F25" i="17"/>
  <c r="F26" i="17"/>
  <c r="F27" i="17"/>
  <c r="F28" i="17"/>
  <c r="F29" i="17"/>
  <c r="F30" i="17"/>
  <c r="F31" i="17"/>
  <c r="F32" i="17"/>
  <c r="F33" i="17"/>
  <c r="F8" i="17"/>
  <c r="F9" i="17"/>
  <c r="F10" i="17"/>
  <c r="F11" i="17"/>
  <c r="F12" i="17"/>
  <c r="F13" i="17"/>
  <c r="F14" i="17"/>
  <c r="F15" i="17"/>
  <c r="F16" i="17"/>
  <c r="F17" i="17"/>
  <c r="F18" i="17"/>
  <c r="F19" i="17"/>
  <c r="F5" i="17"/>
  <c r="F6" i="17"/>
  <c r="F7" i="17"/>
  <c r="F4" i="17"/>
  <c r="F3"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<sst xmlns="http://schemas.openxmlformats.org/spreadsheetml/2006/main" count="11132" uniqueCount="6222">
  <si>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</si>
  <si>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</si>
  <si>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</si>
  <si>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</si>
  <si>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</si>
  <si>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</si>
  <si>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</si>
  <si>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</si>
  <si>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</si>
  <si>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</si>
  <si>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</si>
  <si>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</si>
  <si>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</si>
  <si>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</si>
  <si>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</si>
  <si>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</si>
  <si>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</si>
  <si>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</si>
  <si>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</si>
  <si>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</si>
  <si>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</si>
  <si>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</si>
  <si>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</si>
  <si>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</si>
  <si>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</si>
  <si>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</si>
  <si>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</si>
  <si>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</si>
  <si>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</si>
  <si>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</si>
  <si>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</si>
  <si>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</si>
  <si>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</si>
  <si>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</si>
  <si>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</si>
  <si>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</si>
  <si>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</si>
  <si>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</si>
  <si>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</si>
  <si>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</si>
  <si>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</si>
  <si>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</si>
  <si>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</si>
  <si>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</si>
  <si>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</si>
  <si>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</si>
  <si>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</si>
  <si>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</si>
  <si>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</si>
  <si>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</si>
  <si>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</si>
  <si>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</si>
  <si>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</si>
  <si>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</si>
  <si>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</si>
  <si>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</si>
  <si>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</si>
  <si>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</si>
  <si>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</si>
  <si>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</si>
  <si>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</si>
  <si>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</si>
  <si>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</si>
  <si>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</si>
  <si>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</si>
  <si>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</si>
  <si>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</si>
  <si>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</si>
  <si>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</si>
  <si>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</si>
  <si>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</si>
  <si>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</si>
  <si>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</si>
  <si>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</si>
  <si>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</si>
  <si>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</si>
  <si>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</si>
  <si>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</si>
  <si>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</si>
  <si>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</si>
  <si>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</si>
  <si>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</si>
  <si>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</si>
  <si>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</si>
  <si>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</si>
  <si>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</si>
  <si>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</si>
  <si>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</si>
  <si>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</si>
  <si>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</si>
  <si>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</si>
  <si>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</si>
  <si>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</si>
  <si>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</si>
  <si>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</si>
  <si>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</si>
  <si>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</si>
  <si>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</si>
  <si>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</si>
  <si>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</si>
  <si>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</si>
  <si>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</si>
  <si>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</si>
  <si>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</si>
  <si>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</si>
  <si>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</si>
  <si>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</si>
  <si>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</si>
  <si>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</si>
  <si>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</si>
  <si>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</si>
  <si>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</si>
  <si>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</si>
  <si>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</si>
  <si>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</si>
  <si>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</si>
  <si>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</si>
  <si>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</si>
  <si>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</si>
  <si>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</si>
  <si>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</si>
  <si>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</si>
  <si>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</si>
  <si>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</si>
  <si>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</si>
  <si>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</si>
  <si>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</si>
  <si>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</si>
  <si>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</si>
  <si>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</si>
  <si>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</si>
  <si>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</si>
  <si>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</si>
  <si>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</si>
  <si>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</si>
  <si>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</si>
  <si>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</si>
  <si>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</si>
  <si>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</si>
  <si>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</si>
  <si>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</si>
  <si>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</si>
  <si>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</si>
  <si>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</si>
  <si>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</si>
  <si>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</si>
  <si>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</si>
  <si>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</si>
  <si>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</si>
  <si>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</si>
  <si>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</si>
  <si>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</si>
  <si>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</si>
  <si>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</si>
  <si>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</si>
  <si>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</si>
  <si>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</si>
  <si>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</si>
  <si>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</si>
  <si>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</si>
  <si>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</si>
  <si>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</si>
  <si>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</si>
  <si>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</si>
  <si>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</si>
  <si>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</si>
  <si>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</si>
  <si>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</si>
  <si>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</si>
  <si>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</si>
  <si>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</si>
  <si>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</si>
  <si>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</si>
  <si>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</si>
  <si>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</si>
  <si>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</si>
  <si>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</si>
  <si>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</si>
  <si>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</si>
  <si>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</si>
  <si>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</si>
  <si>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</si>
  <si>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</si>
  <si>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</si>
  <si>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</si>
  <si>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</si>
  <si>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</si>
  <si>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</si>
  <si>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</si>
  <si>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</si>
  <si>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</si>
  <si>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</si>
  <si>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</si>
  <si>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</si>
  <si>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</si>
  <si>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</si>
  <si>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</si>
  <si>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</si>
  <si>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</si>
  <si>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</si>
  <si>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</si>
  <si>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</si>
  <si>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</si>
  <si>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</si>
  <si>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</si>
  <si>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</si>
  <si>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</si>
  <si>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</si>
  <si>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</si>
  <si>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</si>
  <si>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</si>
  <si>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</si>
  <si>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</si>
  <si>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</si>
  <si>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</si>
  <si>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</si>
  <si>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</si>
  <si>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</si>
  <si>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</si>
  <si>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</si>
  <si>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</si>
  <si>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</si>
  <si>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</si>
  <si>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</si>
  <si>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</si>
  <si>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</si>
  <si>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</si>
  <si>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</si>
  <si>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</si>
  <si>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</si>
  <si>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</si>
  <si>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</si>
  <si>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</si>
  <si>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</si>
  <si>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</si>
  <si>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</si>
  <si>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</si>
  <si>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</si>
  <si>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</si>
  <si>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</si>
  <si>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</si>
  <si>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</si>
  <si>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</si>
  <si>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</si>
  <si>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</si>
  <si>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</si>
  <si>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</si>
  <si>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</si>
  <si>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</si>
  <si>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</si>
  <si>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</si>
  <si>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</si>
  <si>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</si>
  <si>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</si>
  <si>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</si>
  <si>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</si>
  <si>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</si>
  <si>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</si>
  <si>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</si>
  <si>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</si>
  <si>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</si>
  <si>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</si>
  <si>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</si>
  <si>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</si>
  <si>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</si>
  <si>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</si>
  <si>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</si>
  <si>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</si>
  <si>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</si>
  <si>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</si>
  <si>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</si>
  <si>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</si>
  <si>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</si>
  <si>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</si>
  <si>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</si>
  <si>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</si>
  <si>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</si>
  <si>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</si>
  <si>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</si>
  <si>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</si>
  <si>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</si>
  <si>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</si>
  <si>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</si>
  <si>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</si>
  <si>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</si>
  <si>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</si>
  <si>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</si>
  <si>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</si>
  <si>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</si>
  <si>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</si>
  <si>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</si>
  <si>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</si>
  <si>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</si>
  <si>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</si>
  <si>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</si>
  <si>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</si>
  <si>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</si>
  <si>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</si>
  <si>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</si>
  <si>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</si>
  <si>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</si>
  <si>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</si>
  <si>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</si>
  <si>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</si>
  <si>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</si>
  <si>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</si>
  <si>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</si>
  <si>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</si>
  <si>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</si>
  <si>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</si>
  <si>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</si>
  <si>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</si>
  <si>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</si>
  <si>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</si>
  <si>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</si>
  <si>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</si>
  <si>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</si>
  <si>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</si>
  <si>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</si>
  <si>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</si>
  <si>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</si>
  <si>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</si>
  <si>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</si>
  <si>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</si>
  <si>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</si>
  <si>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</si>
  <si>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</si>
  <si>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</si>
  <si>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</si>
  <si>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</si>
  <si>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</si>
  <si>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</si>
  <si>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</si>
  <si>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</si>
  <si>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</si>
  <si>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</si>
  <si>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</si>
  <si>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</si>
  <si>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</si>
  <si>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</si>
  <si>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</si>
  <si>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</si>
  <si>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</si>
  <si>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</si>
  <si>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</si>
  <si>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</si>
  <si>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</si>
  <si>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</si>
  <si>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</si>
  <si>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</si>
  <si>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</si>
  <si>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</si>
  <si>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</si>
  <si>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</si>
  <si>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</si>
  <si>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</si>
  <si>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</si>
  <si>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</si>
  <si>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</si>
  <si>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</si>
  <si>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</si>
  <si>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</si>
  <si>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</si>
  <si>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</si>
  <si>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</si>
  <si>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</si>
  <si>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</si>
  <si>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</si>
  <si>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</si>
  <si>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</si>
  <si>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</si>
  <si>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</si>
  <si>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</si>
  <si>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</si>
  <si>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</si>
  <si>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</si>
  <si>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</si>
  <si>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</si>
  <si>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</si>
  <si>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</si>
  <si>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</si>
  <si>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</si>
  <si>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</si>
  <si>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</si>
  <si>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</si>
  <si>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</si>
  <si>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</si>
  <si>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</si>
  <si>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</si>
  <si>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</si>
  <si>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</si>
  <si>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</si>
  <si>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</si>
  <si>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</si>
  <si>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</si>
  <si>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</si>
  <si>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</si>
  <si>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</si>
  <si>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</si>
  <si>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</si>
  <si>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</si>
  <si>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</si>
  <si>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</si>
  <si>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</si>
  <si>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</si>
  <si>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</si>
  <si>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</si>
  <si>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</si>
  <si>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</si>
  <si>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</si>
  <si>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</si>
  <si>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</si>
  <si>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</si>
  <si>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</si>
  <si>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</si>
  <si>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</si>
  <si>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</si>
  <si>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</si>
  <si>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</si>
  <si>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</si>
  <si>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</si>
  <si>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</si>
  <si>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</si>
  <si>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</si>
  <si>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</si>
  <si>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</si>
  <si>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</si>
  <si>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</si>
  <si>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</si>
  <si>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</si>
  <si>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</si>
  <si>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</si>
  <si>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</si>
  <si>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</si>
  <si>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</si>
  <si>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</si>
  <si>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</si>
  <si>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</si>
  <si>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</si>
  <si>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</si>
  <si>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</si>
  <si>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</si>
  <si>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</si>
  <si>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</si>
  <si>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</si>
  <si>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</si>
  <si>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</si>
  <si>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</si>
  <si>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</si>
  <si>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</si>
  <si>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</si>
  <si>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</si>
  <si>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</si>
  <si>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</si>
  <si>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</si>
  <si>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</si>
  <si>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</si>
  <si>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</si>
  <si>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</si>
  <si>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</si>
  <si>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</si>
  <si>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</si>
  <si>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</si>
  <si>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</si>
  <si>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</si>
  <si>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</si>
  <si>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</si>
  <si>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</si>
  <si>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</si>
  <si>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</si>
  <si>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</si>
  <si>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</si>
  <si>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</si>
  <si>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</si>
  <si>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</si>
  <si>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</si>
  <si>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</si>
  <si>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</si>
  <si>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</si>
  <si>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</si>
  <si>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</si>
  <si>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</si>
  <si>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</si>
  <si>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</si>
  <si>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</si>
  <si>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</si>
  <si>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</si>
  <si>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</si>
  <si>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</si>
  <si>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</si>
  <si>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</si>
  <si>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</si>
  <si>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</si>
  <si>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</si>
  <si>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</si>
  <si>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</si>
  <si>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</si>
  <si>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</si>
  <si>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</si>
  <si>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</si>
  <si>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</si>
  <si>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</si>
  <si>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</si>
  <si>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</si>
  <si>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</si>
  <si>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</si>
  <si>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</si>
  <si>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</si>
  <si>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</si>
  <si>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</si>
  <si>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</si>
  <si>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</si>
  <si>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</si>
  <si>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</si>
  <si>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</si>
  <si>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</si>
  <si>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</si>
  <si>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</si>
  <si>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</si>
  <si>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</si>
  <si>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</si>
  <si>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</si>
  <si>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</si>
  <si>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</si>
  <si>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</si>
  <si>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</si>
  <si>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</si>
  <si>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</si>
  <si>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</si>
  <si>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</si>
  <si>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</si>
  <si>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</si>
  <si>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</si>
  <si>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</si>
  <si>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</si>
  <si>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</si>
  <si>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</si>
  <si>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</si>
  <si>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</si>
  <si>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</si>
  <si>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</si>
  <si>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</si>
  <si>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</si>
  <si>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</si>
  <si>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</si>
  <si>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</si>
  <si>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</si>
  <si>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</si>
  <si>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</si>
  <si>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</si>
  <si>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</si>
  <si>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</si>
  <si>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</si>
  <si>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</si>
  <si>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</si>
  <si>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</si>
  <si>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</si>
  <si>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</si>
  <si>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</si>
  <si>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</si>
  <si>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</si>
  <si>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</si>
  <si>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</si>
  <si>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</si>
  <si>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</si>
  <si>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</si>
  <si>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</si>
  <si>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</si>
  <si>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</si>
  <si>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</si>
  <si>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</si>
  <si>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</si>
  <si>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</si>
  <si>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</si>
  <si>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</si>
  <si>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</si>
  <si>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</si>
  <si>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</si>
  <si>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</si>
  <si>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</si>
  <si>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</si>
  <si>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</si>
  <si>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</si>
  <si>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</si>
  <si>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</si>
  <si>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</si>
  <si>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</si>
  <si>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</si>
  <si>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</si>
  <si>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</si>
  <si>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</si>
  <si>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</si>
  <si>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</si>
  <si>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</si>
  <si>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</si>
  <si>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</si>
  <si>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</si>
  <si>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</si>
  <si>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</si>
  <si>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</si>
  <si>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</si>
  <si>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</si>
  <si>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</si>
  <si>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</si>
  <si>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</si>
  <si>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</si>
  <si>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</si>
  <si>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</si>
  <si>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</si>
  <si>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</si>
  <si>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</si>
  <si>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</si>
  <si>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</si>
  <si>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</si>
  <si>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</si>
  <si>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</si>
  <si>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</si>
  <si>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</si>
  <si>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</si>
  <si>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</si>
  <si>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</si>
  <si>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</si>
  <si>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</si>
  <si>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</si>
  <si>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</si>
  <si>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</si>
  <si>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</si>
  <si>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</si>
  <si>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</si>
  <si>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</si>
  <si>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</si>
  <si>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</si>
  <si>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</si>
  <si>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</si>
  <si>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</si>
  <si>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</si>
  <si>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</si>
  <si>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</si>
  <si>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</si>
  <si>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</si>
  <si>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</si>
  <si>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</si>
  <si>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</si>
  <si>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</si>
  <si>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</si>
  <si>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</si>
  <si>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</si>
  <si>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</si>
  <si>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</si>
  <si>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</si>
  <si>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</si>
  <si>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</si>
  <si>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</si>
  <si>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</si>
  <si>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</si>
  <si>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</si>
  <si>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</si>
  <si>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</si>
  <si>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</si>
  <si>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</si>
  <si>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</si>
  <si>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</si>
  <si>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</si>
  <si>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</si>
  <si>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</si>
  <si>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</si>
  <si>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</si>
  <si>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</si>
  <si>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</si>
  <si>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</si>
  <si>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</si>
  <si>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</si>
  <si>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</si>
  <si>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</si>
  <si>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</si>
  <si>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</si>
  <si>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</si>
  <si>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</si>
  <si>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</si>
  <si>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</si>
  <si>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</si>
  <si>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</si>
  <si>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</si>
  <si>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</si>
  <si>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</si>
  <si>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</si>
  <si>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</si>
  <si>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</si>
  <si>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</si>
  <si>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</si>
  <si>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</si>
  <si>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</si>
  <si>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</si>
  <si>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</si>
  <si>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</si>
  <si>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</si>
  <si>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</si>
  <si>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</si>
  <si>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</si>
  <si>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</si>
  <si>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</si>
  <si>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</si>
  <si>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</si>
  <si>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</si>
  <si>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</si>
  <si>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</si>
  <si>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</si>
  <si>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</si>
  <si>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</si>
  <si>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</si>
  <si>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</si>
  <si>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</si>
  <si>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</si>
  <si>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</si>
  <si>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</si>
  <si>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</si>
  <si>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</si>
  <si>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</si>
  <si>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</si>
  <si>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</si>
  <si>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</si>
  <si>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</si>
  <si>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</si>
  <si>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</si>
  <si>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</si>
  <si>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</si>
  <si>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</si>
  <si>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</si>
  <si>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</si>
  <si>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</si>
  <si>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</si>
  <si>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</si>
  <si>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</si>
  <si>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</si>
  <si>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</si>
  <si>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</si>
  <si>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</si>
  <si>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</si>
  <si>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</si>
  <si>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</si>
  <si>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</si>
  <si>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</si>
  <si>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</si>
  <si>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</si>
  <si>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</si>
  <si>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</si>
  <si>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</si>
  <si>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</si>
  <si>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</si>
  <si>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</si>
  <si>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</si>
  <si>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</si>
  <si>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</si>
  <si>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</si>
  <si>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</si>
  <si>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</si>
  <si>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</si>
  <si>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</si>
  <si>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</si>
  <si>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</si>
  <si>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</si>
  <si>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</si>
  <si>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</si>
  <si>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</si>
  <si>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</si>
  <si>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</si>
  <si>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</si>
  <si>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</si>
  <si>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</si>
  <si>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</si>
  <si>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</si>
  <si>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</si>
  <si>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</si>
  <si>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</si>
  <si>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</si>
  <si>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</si>
  <si>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</si>
  <si>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</si>
  <si>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</si>
  <si>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</si>
  <si>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</si>
  <si>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</si>
  <si>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</si>
  <si>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</si>
  <si>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</si>
  <si>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</si>
  <si>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</si>
  <si>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</si>
  <si>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</si>
  <si>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</si>
  <si>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</si>
  <si>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</si>
  <si>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</si>
  <si>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</si>
  <si>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</si>
  <si>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</si>
  <si>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</si>
  <si>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</si>
  <si>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</si>
  <si>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</si>
  <si>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</si>
  <si>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</si>
  <si>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</si>
  <si>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</si>
  <si>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</si>
  <si>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</si>
  <si>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</si>
  <si>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</si>
  <si>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</si>
  <si>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</si>
  <si>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</si>
  <si>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</si>
  <si>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</si>
  <si>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</si>
  <si>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</si>
  <si>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</si>
  <si>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</si>
  <si>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</si>
  <si>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</si>
  <si>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</si>
  <si>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</si>
  <si>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</si>
  <si>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</si>
  <si>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</si>
  <si>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</si>
  <si>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</si>
  <si>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</si>
  <si>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</si>
  <si>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</si>
  <si>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</si>
  <si>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</si>
  <si>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</si>
  <si>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</si>
  <si>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</si>
  <si>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</si>
  <si>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</si>
  <si>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</si>
  <si>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</si>
  <si>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</si>
  <si>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</si>
  <si>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</si>
  <si>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</si>
  <si>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</si>
  <si>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</si>
  <si>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</si>
  <si>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</si>
  <si>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</si>
  <si>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</si>
  <si>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</si>
  <si>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</si>
  <si>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</si>
  <si>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</si>
  <si>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</si>
  <si>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</si>
  <si>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</si>
  <si>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</si>
  <si>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</si>
  <si>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</si>
  <si>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</si>
  <si>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</si>
  <si>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</si>
  <si>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</si>
  <si>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</si>
  <si>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</si>
  <si>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</si>
  <si>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</si>
  <si>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</si>
  <si>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</si>
  <si>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</si>
  <si>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</si>
  <si>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</si>
  <si>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</si>
  <si>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</si>
  <si>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</si>
  <si>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</si>
  <si>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</si>
  <si>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</si>
  <si>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</si>
  <si>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</si>
  <si>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</si>
  <si>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</si>
  <si>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</si>
  <si>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</si>
  <si>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</si>
  <si>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</si>
  <si>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</si>
  <si>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</si>
  <si>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</si>
  <si>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</si>
  <si>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</si>
  <si>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</si>
  <si>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</si>
  <si>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</si>
  <si>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</si>
  <si>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</si>
  <si>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</si>
  <si>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</si>
  <si>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</si>
  <si>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</si>
  <si>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</si>
  <si>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</si>
  <si>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</si>
  <si>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</si>
  <si>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</si>
  <si>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</si>
  <si>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</si>
  <si>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</si>
  <si>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</si>
  <si>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</si>
  <si>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</si>
  <si>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</si>
  <si>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</si>
  <si>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</si>
  <si>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</si>
  <si>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</si>
  <si>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</si>
  <si>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</si>
  <si>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</si>
  <si>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</si>
  <si>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</si>
  <si>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</si>
  <si>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</si>
  <si>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</si>
  <si>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</si>
  <si>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</si>
  <si>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</si>
  <si>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</si>
  <si>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</si>
  <si>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</si>
  <si>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</si>
  <si>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</si>
  <si>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</si>
  <si>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</si>
  <si>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</si>
  <si>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</si>
  <si>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</si>
  <si>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</si>
  <si>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</si>
  <si>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</si>
  <si>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</si>
  <si>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</si>
  <si>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</si>
  <si>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</si>
  <si>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</si>
  <si>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</si>
  <si>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</si>
  <si>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</si>
  <si>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</si>
  <si>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</si>
  <si>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</si>
  <si>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</si>
  <si>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</si>
  <si>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</si>
  <si>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</si>
  <si>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</si>
  <si>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</si>
  <si>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</si>
  <si>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</si>
  <si>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</si>
  <si>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</si>
  <si>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</si>
  <si>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</si>
  <si>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</si>
  <si>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</si>
  <si>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</si>
  <si>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</si>
  <si>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</si>
  <si>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</si>
  <si>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</si>
  <si>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</si>
  <si>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</si>
  <si>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</si>
  <si>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</si>
  <si>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</si>
  <si>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</si>
  <si>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</si>
  <si>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</si>
  <si>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</si>
  <si>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</si>
  <si>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</si>
  <si>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</si>
  <si>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</si>
  <si>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</si>
  <si>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</si>
  <si>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</si>
  <si>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</si>
  <si>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</si>
  <si>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</si>
  <si>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</si>
  <si>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</si>
  <si>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</si>
  <si>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</si>
  <si>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</si>
  <si>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</si>
  <si>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</si>
  <si>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</si>
  <si>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</si>
  <si>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</si>
  <si>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</si>
  <si>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</si>
  <si>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</si>
  <si>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</si>
  <si>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</si>
  <si>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</si>
  <si>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</si>
  <si>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</si>
  <si>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</si>
  <si>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</si>
  <si>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</si>
  <si>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</si>
  <si>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</si>
  <si>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</si>
  <si>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</si>
  <si>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</si>
  <si>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</si>
  <si>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</si>
  <si>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</si>
  <si>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</si>
  <si>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</si>
  <si>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</si>
  <si>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</si>
  <si>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</si>
  <si>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</si>
  <si>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</si>
  <si>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</si>
  <si>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</si>
  <si>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</si>
  <si>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</si>
  <si>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</si>
  <si>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</si>
  <si>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</si>
  <si>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</si>
  <si>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</si>
  <si>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</si>
  <si>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</si>
  <si>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</si>
  <si>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</si>
  <si>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</si>
  <si>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</si>
  <si>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</si>
  <si>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</si>
  <si>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</si>
  <si>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</si>
  <si>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</si>
  <si>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</si>
  <si>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</si>
  <si>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</si>
  <si>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</si>
  <si>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</si>
  <si>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</si>
  <si>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</si>
  <si>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</si>
  <si>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</si>
  <si>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</si>
  <si>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</si>
  <si>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</si>
  <si>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</si>
  <si>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</si>
  <si>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</si>
  <si>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</si>
  <si>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</si>
  <si>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</si>
  <si>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</si>
  <si>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</si>
  <si>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</si>
  <si>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</si>
  <si>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</si>
  <si>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</si>
  <si>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</si>
  <si>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</si>
  <si>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</si>
  <si>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</si>
  <si>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</si>
  <si>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</si>
  <si>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</si>
  <si>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</si>
  <si>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</si>
  <si>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</si>
  <si>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</si>
  <si>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</si>
  <si>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</si>
  <si>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</si>
  <si>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</si>
  <si>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</si>
  <si>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</si>
  <si>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</si>
  <si>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</si>
  <si>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</si>
  <si>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</si>
  <si>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</si>
  <si>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</si>
  <si>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</si>
  <si>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</si>
  <si>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</si>
  <si>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</si>
  <si>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</si>
  <si>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</si>
  <si>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</si>
  <si>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</si>
  <si>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</si>
  <si>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</si>
  <si>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</si>
  <si>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</si>
  <si>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</si>
  <si>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</si>
  <si>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</si>
  <si>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</si>
  <si>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</si>
  <si>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</si>
  <si>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</si>
  <si>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</si>
  <si>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</si>
  <si>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</si>
  <si>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</si>
  <si>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</si>
  <si>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</si>
  <si>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</si>
  <si>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</si>
  <si>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</si>
  <si>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</si>
  <si>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</si>
  <si>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</si>
  <si>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</si>
  <si>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</si>
  <si>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</si>
  <si>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</si>
  <si>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</si>
  <si>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</si>
  <si>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</si>
  <si>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</si>
  <si>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</si>
  <si>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</si>
  <si>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</si>
  <si>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</si>
  <si>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</si>
  <si>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</si>
  <si>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</si>
  <si>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</si>
  <si>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</si>
  <si>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</si>
  <si>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</si>
  <si>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</si>
  <si>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</si>
  <si>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</si>
  <si>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</si>
  <si>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</si>
  <si>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</si>
  <si>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</si>
  <si>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</si>
  <si>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</si>
  <si>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</si>
  <si>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</si>
  <si>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</si>
  <si>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</si>
  <si>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</si>
  <si>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</si>
  <si>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</si>
  <si>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</si>
  <si>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</si>
  <si>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</si>
  <si>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</si>
  <si>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</si>
  <si>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</si>
  <si>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</si>
  <si>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</si>
  <si>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</si>
  <si>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</si>
  <si>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</si>
  <si>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</si>
  <si>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</si>
  <si>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</si>
  <si>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</si>
  <si>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</si>
  <si>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</si>
  <si>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</si>
  <si>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</si>
  <si>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</si>
  <si>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</si>
  <si>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</si>
  <si>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</si>
  <si>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</si>
  <si>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</si>
  <si>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</si>
  <si>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</si>
  <si>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</si>
  <si>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</si>
  <si>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</si>
  <si>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</si>
  <si>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</si>
  <si>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</si>
  <si>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</si>
  <si>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</si>
  <si>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</si>
  <si>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</si>
  <si>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</si>
  <si>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</si>
  <si>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</si>
  <si>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</si>
  <si>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</si>
  <si>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</si>
  <si>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</si>
  <si>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</si>
  <si>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</si>
  <si>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</si>
  <si>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</si>
  <si>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</si>
  <si>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</si>
  <si>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</si>
  <si>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</si>
  <si>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</si>
  <si>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</si>
  <si>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</si>
  <si>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</si>
  <si>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</si>
  <si>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</si>
  <si>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</si>
  <si>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</si>
  <si>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</si>
  <si>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</si>
  <si>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</si>
  <si>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</si>
  <si>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</si>
  <si>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</si>
  <si>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</si>
  <si>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</si>
  <si>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</si>
  <si>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</si>
  <si>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</si>
  <si>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</si>
  <si>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</si>
  <si>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</si>
  <si>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</si>
  <si>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</si>
  <si>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</si>
  <si>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</si>
  <si>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</si>
  <si>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</si>
  <si>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</si>
  <si>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</si>
  <si>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</si>
  <si>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</si>
  <si>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</si>
  <si>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</si>
  <si>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</si>
  <si>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</si>
  <si>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</si>
  <si>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</si>
  <si>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</si>
  <si>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</si>
  <si>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</si>
  <si>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</si>
  <si>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</si>
  <si>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</si>
  <si>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</si>
  <si>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</si>
  <si>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</si>
  <si>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</si>
  <si>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</si>
  <si>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</si>
  <si>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</si>
  <si>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</si>
  <si>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</si>
  <si>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</si>
  <si>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</si>
  <si>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</si>
  <si>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</si>
  <si>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</si>
  <si>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</si>
  <si>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</si>
  <si>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</si>
  <si>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</si>
  <si>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</si>
  <si>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</si>
  <si>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</si>
  <si>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</si>
  <si>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</si>
  <si>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</si>
  <si>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</si>
  <si>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</si>
  <si>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</si>
  <si>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</si>
  <si>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</si>
  <si>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</si>
  <si>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</si>
  <si>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</si>
  <si>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</si>
  <si>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</si>
  <si>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</si>
  <si>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</si>
  <si>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</si>
  <si>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</si>
  <si>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</si>
  <si>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</si>
  <si>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</si>
  <si>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</si>
  <si>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</si>
  <si>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</si>
  <si>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</si>
  <si>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</si>
  <si>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</si>
  <si>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</si>
  <si>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</si>
  <si>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</si>
  <si>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</si>
  <si>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</si>
  <si>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</si>
  <si>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</si>
  <si>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</si>
  <si>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</si>
  <si>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</si>
  <si>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</si>
  <si>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</si>
  <si>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</si>
  <si>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</si>
  <si>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</si>
  <si>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</si>
  <si>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</si>
  <si>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</si>
  <si>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</si>
  <si>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</si>
  <si>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</si>
  <si>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</si>
  <si>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</si>
  <si>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</si>
  <si>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</si>
  <si>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</si>
  <si>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</si>
  <si>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</si>
  <si>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</si>
  <si>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</si>
  <si>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</si>
  <si>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</si>
  <si>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</si>
  <si>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</si>
  <si>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</si>
  <si>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</si>
  <si>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</si>
  <si>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</si>
  <si>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</si>
  <si>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</si>
  <si>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</si>
  <si>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</si>
  <si>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</si>
  <si>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</si>
  <si>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</si>
  <si>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</si>
  <si>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</si>
  <si>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</si>
  <si>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</si>
  <si>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</si>
  <si>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</si>
  <si>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</si>
  <si>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</si>
  <si>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</si>
  <si>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</si>
  <si>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</si>
  <si>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</si>
  <si>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</si>
  <si>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</si>
  <si>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</si>
  <si>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</si>
  <si>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</si>
  <si>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</si>
  <si>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</si>
  <si>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</si>
  <si>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</si>
  <si>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</si>
  <si>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</si>
  <si>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</si>
  <si>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</si>
  <si>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</si>
  <si>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</si>
  <si>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</si>
  <si>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</si>
  <si>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</si>
  <si>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</si>
  <si>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</si>
  <si>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</si>
  <si>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</si>
  <si>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</si>
  <si>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</si>
  <si>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</si>
  <si>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</si>
  <si>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</si>
  <si>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</si>
  <si>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</si>
  <si>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</si>
  <si>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</si>
  <si>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</si>
  <si>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</si>
  <si>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</si>
  <si>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</si>
  <si>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</si>
  <si>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</si>
  <si>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</si>
  <si>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</si>
  <si>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</si>
  <si>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</si>
  <si>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</si>
  <si>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</si>
  <si>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</si>
  <si>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</si>
  <si>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</si>
  <si>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</si>
  <si>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</si>
  <si>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</si>
  <si>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</si>
  <si>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</si>
  <si>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</si>
  <si>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</si>
  <si>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</si>
  <si>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</si>
  <si>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</si>
  <si>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</si>
  <si>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</si>
  <si>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</si>
  <si>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</si>
  <si>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</si>
  <si>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</si>
  <si>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</si>
  <si>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</si>
  <si>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</si>
  <si>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</si>
  <si>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</si>
  <si>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</si>
  <si>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</si>
  <si>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</si>
  <si>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</si>
  <si>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</si>
  <si>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</si>
  <si>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</si>
  <si>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</si>
  <si>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</si>
  <si>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</si>
  <si>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</si>
  <si>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</si>
  <si>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</si>
  <si>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</si>
  <si>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</si>
  <si>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</si>
  <si>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</si>
  <si>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</si>
  <si>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</si>
  <si>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</si>
  <si>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</si>
  <si>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</si>
  <si>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</si>
  <si>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</si>
  <si>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</si>
  <si>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</si>
  <si>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</si>
  <si>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</si>
  <si>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</si>
  <si>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</si>
  <si>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</si>
  <si>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</si>
  <si>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</si>
  <si>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</si>
  <si>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</si>
  <si>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</si>
  <si>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</si>
  <si>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</si>
  <si>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</si>
  <si>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</si>
  <si>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</si>
  <si>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</si>
  <si>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</si>
  <si>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</si>
  <si>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</si>
  <si>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</si>
  <si>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</si>
  <si>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</si>
  <si>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</si>
  <si>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</si>
  <si>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</si>
  <si>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</si>
  <si>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</si>
  <si>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</si>
  <si>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</si>
  <si>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</si>
  <si>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</si>
  <si>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</si>
  <si>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</si>
  <si>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</si>
  <si>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</si>
  <si>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</si>
  <si>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</si>
  <si>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</si>
  <si>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</si>
  <si>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</si>
  <si>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</si>
  <si>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</si>
  <si>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</si>
  <si>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</si>
  <si>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</si>
  <si>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</si>
  <si>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</si>
  <si>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</si>
  <si>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</si>
  <si>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</si>
  <si>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</si>
  <si>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</si>
  <si>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</si>
  <si>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</si>
  <si>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</si>
  <si>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</si>
  <si>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</si>
  <si>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</si>
  <si>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</si>
  <si>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</si>
  <si>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</si>
  <si>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</si>
  <si>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</si>
  <si>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</si>
  <si>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</si>
  <si>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</si>
  <si>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</si>
  <si>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</si>
  <si>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</si>
  <si>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</si>
  <si>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</si>
  <si>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</si>
  <si>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</si>
  <si>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</si>
  <si>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</si>
  <si>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</si>
  <si>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</si>
  <si>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</si>
  <si>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</si>
  <si>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</si>
  <si>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</si>
  <si>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</si>
  <si>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</si>
  <si>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</si>
  <si>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</si>
  <si>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</si>
  <si>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</si>
  <si>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</si>
  <si>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</si>
  <si>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</si>
  <si>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</si>
  <si>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</si>
  <si>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</si>
  <si>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</si>
  <si>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</si>
  <si>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</si>
  <si>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</si>
  <si>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</si>
  <si>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</si>
  <si>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</si>
  <si>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</si>
  <si>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</si>
  <si>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</si>
  <si>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</si>
  <si>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</si>
  <si>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</si>
  <si>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</si>
  <si>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</si>
  <si>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</si>
  <si>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</si>
  <si>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</si>
  <si>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</si>
  <si>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</si>
  <si>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</si>
  <si>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</si>
  <si>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</si>
  <si>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</si>
  <si>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</si>
  <si>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</si>
  <si>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</si>
  <si>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</si>
  <si>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</si>
  <si>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</si>
  <si>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</si>
  <si>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</si>
  <si>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</si>
  <si>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</si>
  <si>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</si>
  <si>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</si>
  <si>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</si>
  <si>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</si>
  <si>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</si>
  <si>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</si>
  <si>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</si>
  <si>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</si>
  <si>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</si>
  <si>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</si>
  <si>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</si>
  <si>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</si>
  <si>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</si>
  <si>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</si>
  <si>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</si>
  <si>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</si>
  <si>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</si>
  <si>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</si>
  <si>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</si>
  <si>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</si>
  <si>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</si>
  <si>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</si>
  <si>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</si>
  <si>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</si>
  <si>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</si>
  <si>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</si>
  <si>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</si>
  <si>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</si>
  <si>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</si>
  <si>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</si>
  <si>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</si>
  <si>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</si>
  <si>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</si>
  <si>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</si>
  <si>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</si>
  <si>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</si>
  <si>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</si>
  <si>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</si>
  <si>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</si>
  <si>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</si>
  <si>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</si>
  <si>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</si>
  <si>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</si>
  <si>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</si>
  <si>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</si>
  <si>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</si>
  <si>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</si>
  <si>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</si>
  <si>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</si>
  <si>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</si>
  <si>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</si>
  <si>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</si>
  <si>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</si>
  <si>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</si>
  <si>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</si>
  <si>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</si>
  <si>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</si>
  <si>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</si>
  <si>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</si>
  <si>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</si>
  <si>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</si>
  <si>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</si>
  <si>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</si>
  <si>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</si>
  <si>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</si>
  <si>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</si>
  <si>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</si>
  <si>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</si>
  <si>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</si>
  <si>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</si>
  <si>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</si>
  <si>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</si>
  <si>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</si>
  <si>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</si>
  <si>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</si>
  <si>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</si>
  <si>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</si>
  <si>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</si>
  <si>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</si>
  <si>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</si>
  <si>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</si>
  <si>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</si>
  <si>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</si>
  <si>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</si>
  <si>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</si>
  <si>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</si>
  <si>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</si>
  <si>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</si>
  <si>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</si>
  <si>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</si>
  <si>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</si>
  <si>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</si>
  <si>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</si>
  <si>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</si>
  <si>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</si>
  <si>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</si>
  <si>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</si>
  <si>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</si>
  <si>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</si>
  <si>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</si>
  <si>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</si>
  <si>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</si>
  <si>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</si>
  <si>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</si>
  <si>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</si>
  <si>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</si>
  <si>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</si>
  <si>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</si>
  <si>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</si>
  <si>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</si>
  <si>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</si>
  <si>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</si>
  <si>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</si>
  <si>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</si>
  <si>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</si>
  <si>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</si>
  <si>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</si>
  <si>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</si>
  <si>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</si>
  <si>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</si>
  <si>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</si>
  <si>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</si>
  <si>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</si>
  <si>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</si>
  <si>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</si>
  <si>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</si>
  <si>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</si>
  <si>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</si>
  <si>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</si>
  <si>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</si>
  <si>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</si>
  <si>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</si>
  <si>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</si>
  <si>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</si>
  <si>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</si>
  <si>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</si>
  <si>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</si>
  <si>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</si>
  <si>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</si>
  <si>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</si>
  <si>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</si>
  <si>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</si>
  <si>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</si>
  <si>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</si>
  <si>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</si>
  <si>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</si>
  <si>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</si>
  <si>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</si>
  <si>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</si>
  <si>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</si>
  <si>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</si>
  <si>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</si>
  <si>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</si>
  <si>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</si>
  <si>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</si>
  <si>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</si>
  <si>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</si>
  <si>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</si>
  <si>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</si>
  <si>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</si>
  <si>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</si>
  <si>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</si>
  <si>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</si>
  <si>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</si>
  <si>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</si>
  <si>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</si>
  <si>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</si>
  <si>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</si>
  <si>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</si>
  <si>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</si>
  <si>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</si>
  <si>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</si>
  <si>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</si>
  <si>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</si>
  <si>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</si>
  <si>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</si>
  <si>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</si>
  <si>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</si>
  <si>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</si>
  <si>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</si>
  <si>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</si>
  <si>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</si>
  <si>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</si>
  <si>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</si>
  <si>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</si>
  <si>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</si>
  <si>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</si>
  <si>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</si>
  <si>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</si>
  <si>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</si>
  <si>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</si>
  <si>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</si>
  <si>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</si>
  <si>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</si>
  <si>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</si>
  <si>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</si>
  <si>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</si>
  <si>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</si>
  <si>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</si>
  <si>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</si>
  <si>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</si>
  <si>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</si>
  <si>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</si>
  <si>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</si>
  <si>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</si>
  <si>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</si>
  <si>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</si>
  <si>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</si>
  <si>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</si>
  <si>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</si>
  <si>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</si>
  <si>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</si>
  <si>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</si>
  <si>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</si>
  <si>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</si>
  <si>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</si>
  <si>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</si>
  <si>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</si>
  <si>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</si>
  <si>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</si>
  <si>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</si>
  <si>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</si>
  <si>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</si>
  <si>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</si>
  <si>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</si>
  <si>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</si>
  <si>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</si>
  <si>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</si>
  <si>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</si>
  <si>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</si>
  <si>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</si>
  <si>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</si>
  <si>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</si>
  <si>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</si>
  <si>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</si>
  <si>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</si>
  <si>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</si>
  <si>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</si>
  <si>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</si>
  <si>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</si>
  <si>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</si>
  <si>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</si>
  <si>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</si>
  <si>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</si>
  <si>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</si>
  <si>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</si>
  <si>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</si>
  <si>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</si>
  <si>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</si>
  <si>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</si>
  <si>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</si>
  <si>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</si>
  <si>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</si>
  <si>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</si>
  <si>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</si>
  <si>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</si>
  <si>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</si>
  <si>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</si>
  <si>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</si>
  <si>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</si>
  <si>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</si>
  <si>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</si>
  <si>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</si>
  <si>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</si>
  <si>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</si>
  <si>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</si>
  <si>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</si>
  <si>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</si>
  <si>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</si>
  <si>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</si>
  <si>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</si>
  <si>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</si>
  <si>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</si>
  <si>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</si>
  <si>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</si>
  <si>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</si>
  <si>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</si>
  <si>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</si>
  <si>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</si>
  <si>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</si>
  <si>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</si>
  <si>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</si>
  <si>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</si>
  <si>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</si>
  <si>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</si>
  <si>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</si>
  <si>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</si>
  <si>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</si>
  <si>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</si>
  <si>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</si>
  <si>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</si>
  <si>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</si>
  <si>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</si>
  <si>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</si>
  <si>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</si>
  <si>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</si>
  <si>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</si>
  <si>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</si>
  <si>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</si>
  <si>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</si>
  <si>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</si>
  <si>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</si>
  <si>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</si>
  <si>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</si>
  <si>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</si>
  <si>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</si>
  <si>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</si>
  <si>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</si>
  <si>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</si>
  <si>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</si>
  <si>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</si>
  <si>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</si>
  <si>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</si>
  <si>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</si>
  <si>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</si>
  <si>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</si>
  <si>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</si>
  <si>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</si>
  <si>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</si>
  <si>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</si>
  <si>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</si>
  <si>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</si>
  <si>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</si>
  <si>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</si>
  <si>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</si>
  <si>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</si>
  <si>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</si>
  <si>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</si>
  <si>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</si>
  <si>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</si>
  <si>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</si>
  <si>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</si>
  <si>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</si>
  <si>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</si>
  <si>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</si>
  <si>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</si>
  <si>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</si>
  <si>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</si>
  <si>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</si>
  <si>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</si>
  <si>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</si>
  <si>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</si>
  <si>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</si>
  <si>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</si>
  <si>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</si>
  <si>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</si>
  <si>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</si>
  <si>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</si>
  <si>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</si>
  <si>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</si>
  <si>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</si>
  <si>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</si>
  <si>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</si>
  <si>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</si>
  <si>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</si>
  <si>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</si>
  <si>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</si>
  <si>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</si>
  <si>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</si>
  <si>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</si>
  <si>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</si>
  <si>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</si>
  <si>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</si>
  <si>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</si>
  <si>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</si>
  <si>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</si>
  <si>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</si>
  <si>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</si>
  <si>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</si>
  <si>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</si>
  <si>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</si>
  <si>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</si>
  <si>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</si>
  <si>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</si>
  <si>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</si>
  <si>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</si>
  <si>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</si>
  <si>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</si>
  <si>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</si>
  <si>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</si>
  <si>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</si>
  <si>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</si>
  <si>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</si>
  <si>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</si>
  <si>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</si>
  <si>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</si>
  <si>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</si>
  <si>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</si>
  <si>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</si>
  <si>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</si>
  <si>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</si>
  <si>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</si>
  <si>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</si>
  <si>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</si>
  <si>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</si>
  <si>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</si>
  <si>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</si>
  <si>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</si>
  <si>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</si>
  <si>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</si>
  <si>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</si>
  <si>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</si>
  <si>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</si>
  <si>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</si>
  <si>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</si>
  <si>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</si>
  <si>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</si>
  <si>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</si>
  <si>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</si>
  <si>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</si>
  <si>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</si>
  <si>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</si>
  <si>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</si>
  <si>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</si>
  <si>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</si>
  <si>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</si>
  <si>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</si>
  <si>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</si>
  <si>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</si>
  <si>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</si>
  <si>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</si>
  <si>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</si>
  <si>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</si>
  <si>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</si>
  <si>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</si>
  <si>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</si>
  <si>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</si>
  <si>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</si>
  <si>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</si>
  <si>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</si>
  <si>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</si>
  <si>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</si>
  <si>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</si>
  <si>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</si>
  <si>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</si>
  <si>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</si>
  <si>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</si>
  <si>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</si>
  <si>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</si>
  <si>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</si>
  <si>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</si>
  <si>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</si>
  <si>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</si>
  <si>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</si>
  <si>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</si>
  <si>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</si>
  <si>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</si>
  <si>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</si>
  <si>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</si>
  <si>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</si>
  <si>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</si>
  <si>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</si>
  <si>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</si>
  <si>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</si>
  <si>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</si>
  <si>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</si>
  <si>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</si>
  <si>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</si>
  <si>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</si>
  <si>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</si>
  <si>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</si>
  <si>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</si>
  <si>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</si>
  <si>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</si>
  <si>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</si>
  <si>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</si>
  <si>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</si>
  <si>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</si>
  <si>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</si>
  <si>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</si>
  <si>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</si>
  <si>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</si>
  <si>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</si>
  <si>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</si>
  <si>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</si>
  <si>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</si>
  <si>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</si>
  <si>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</si>
  <si>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</si>
  <si>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</si>
  <si>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</si>
  <si>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</si>
  <si>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</si>
  <si>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</si>
  <si>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</si>
  <si>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</si>
  <si>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</si>
  <si>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</si>
  <si>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</si>
  <si>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</si>
  <si>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</si>
  <si>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</si>
  <si>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</si>
  <si>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</si>
  <si>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</si>
  <si>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</si>
  <si>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</si>
  <si>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</si>
  <si>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</si>
  <si>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</si>
  <si>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</si>
  <si>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</si>
  <si>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</si>
  <si>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</si>
  <si>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</si>
  <si>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</si>
  <si>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</si>
  <si>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</si>
  <si>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</si>
  <si>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</si>
  <si>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</si>
  <si>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</si>
  <si>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</si>
  <si>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</si>
  <si>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</si>
  <si>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</si>
  <si>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</si>
  <si>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</si>
  <si>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</si>
  <si>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</si>
  <si>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</si>
  <si>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</si>
  <si>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</si>
  <si>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</si>
  <si>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</si>
  <si>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</si>
  <si>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</si>
  <si>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</si>
  <si>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</si>
  <si>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</si>
  <si>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</si>
  <si>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</si>
  <si>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</si>
  <si>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</si>
  <si>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</si>
  <si>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</si>
  <si>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</si>
  <si>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</si>
  <si>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</si>
  <si>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</si>
  <si>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</si>
  <si>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</si>
  <si>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</si>
  <si>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</si>
  <si>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</si>
  <si>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</si>
  <si>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</si>
  <si>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</si>
  <si>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</si>
  <si>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</si>
  <si>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</si>
  <si>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</si>
  <si>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</si>
  <si>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</si>
  <si>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</si>
  <si>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</si>
  <si>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</si>
  <si>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</si>
  <si>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</si>
  <si>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</si>
  <si>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</si>
  <si>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</si>
  <si>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</si>
  <si>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</si>
  <si>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</si>
  <si>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</si>
  <si>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</si>
  <si>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</si>
  <si>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</si>
  <si>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</si>
  <si>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</si>
  <si>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</si>
  <si>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</si>
  <si>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</si>
  <si>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</si>
  <si>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</si>
  <si>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</si>
  <si>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</si>
  <si>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</si>
  <si>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</si>
  <si>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</si>
  <si>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</si>
  <si>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</si>
  <si>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</si>
  <si>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</si>
  <si>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</si>
  <si>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</si>
  <si>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</si>
  <si>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</si>
  <si>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</si>
  <si>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</si>
  <si>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</si>
  <si>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</si>
  <si>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</si>
  <si>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</si>
  <si>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</si>
  <si>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</si>
  <si>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</si>
  <si>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</si>
  <si>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</si>
  <si>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</si>
  <si>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</si>
  <si>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</si>
  <si>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</si>
  <si>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</si>
  <si>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</si>
  <si>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</si>
  <si>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</si>
  <si>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</si>
  <si>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</si>
  <si>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</si>
  <si>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</si>
  <si>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</si>
  <si>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</si>
  <si>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</si>
  <si>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</si>
  <si>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</si>
  <si>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</si>
  <si>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</si>
  <si>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</si>
  <si>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</si>
  <si>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</si>
  <si>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</si>
  <si>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</si>
  <si>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</si>
  <si>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</si>
  <si>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</si>
  <si>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</si>
  <si>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</si>
  <si>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</si>
  <si>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</si>
  <si>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</si>
  <si>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</si>
  <si>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</si>
  <si>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</si>
  <si>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</si>
  <si>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</si>
  <si>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</si>
  <si>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</si>
  <si>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</si>
  <si>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</si>
  <si>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</si>
  <si>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</si>
  <si>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</si>
  <si>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</si>
  <si>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</si>
  <si>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</si>
  <si>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</si>
  <si>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</si>
  <si>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</si>
  <si>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</si>
  <si>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</si>
  <si>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</si>
  <si>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</si>
  <si>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</si>
  <si>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</si>
  <si>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</si>
  <si>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</si>
  <si>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</si>
  <si>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</si>
  <si>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</si>
  <si>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</si>
  <si>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</si>
  <si>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</si>
  <si>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</si>
  <si>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</si>
  <si>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</si>
  <si>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</si>
  <si>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</si>
  <si>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</si>
  <si>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</si>
  <si>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</si>
  <si>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</si>
  <si>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</si>
  <si>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</si>
  <si>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</si>
  <si>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</si>
  <si>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</si>
  <si>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</si>
  <si>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</si>
  <si>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</si>
  <si>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</si>
  <si>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</si>
  <si>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</si>
  <si>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</si>
  <si>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</si>
  <si>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</si>
  <si>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</si>
  <si>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</si>
  <si>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</si>
  <si>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</si>
  <si>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</si>
  <si>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</si>
  <si>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</si>
  <si>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</si>
  <si>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</si>
  <si>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</si>
  <si>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</si>
  <si>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</si>
  <si>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</si>
  <si>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</si>
  <si>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</si>
  <si>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</si>
  <si>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</si>
  <si>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</si>
  <si>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</si>
  <si>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</si>
  <si>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</si>
  <si>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</si>
  <si>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</si>
  <si>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</si>
  <si>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</si>
  <si>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</si>
  <si>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</si>
  <si>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</si>
  <si>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</si>
  <si>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</si>
  <si>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</si>
  <si>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</si>
  <si>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</si>
  <si>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</si>
  <si>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</si>
  <si>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</si>
  <si>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</si>
  <si>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</si>
  <si>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</si>
  <si>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</si>
  <si>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</si>
  <si>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</si>
  <si>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</si>
  <si>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</si>
  <si>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</si>
  <si>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</si>
  <si>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</si>
  <si>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</si>
  <si>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</si>
  <si>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</si>
  <si>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</si>
  <si>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</si>
  <si>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</si>
  <si>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</si>
  <si>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</si>
  <si>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</si>
  <si>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</si>
  <si>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</si>
  <si>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</si>
  <si>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</si>
  <si>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</si>
  <si>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</si>
  <si>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</si>
  <si>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</si>
  <si>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</si>
  <si>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</si>
  <si>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</si>
  <si>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</si>
  <si>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</si>
  <si>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</si>
  <si>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</si>
  <si>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</si>
  <si>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</si>
  <si>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</si>
  <si>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</si>
  <si>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</si>
  <si>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</si>
  <si>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</si>
  <si>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</si>
  <si>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</si>
  <si>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</si>
  <si>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</si>
  <si>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</si>
  <si>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</si>
  <si>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</si>
  <si>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</si>
  <si>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</si>
  <si>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</si>
  <si>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</si>
  <si>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</si>
  <si>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</si>
  <si>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</si>
  <si>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</si>
  <si>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</si>
  <si>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</si>
  <si>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</si>
  <si>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</si>
  <si>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</si>
  <si>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</si>
  <si>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</si>
  <si>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</si>
  <si>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</si>
  <si>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</si>
  <si>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</si>
  <si>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</si>
  <si>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</si>
  <si>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</si>
  <si>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</si>
  <si>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</si>
  <si>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</si>
  <si>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</si>
  <si>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</si>
  <si>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</si>
  <si>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</si>
  <si>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</si>
  <si>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</si>
  <si>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</si>
  <si>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</si>
  <si>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</si>
  <si>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</si>
  <si>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</si>
  <si>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</si>
  <si>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</si>
  <si>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</si>
  <si>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</si>
  <si>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</si>
  <si>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</si>
  <si>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</si>
  <si>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</si>
  <si>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</si>
  <si>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</si>
  <si>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</si>
  <si>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</si>
  <si>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</si>
  <si>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</si>
  <si>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</si>
  <si>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</si>
  <si>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</si>
  <si>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</si>
  <si>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</si>
  <si>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</si>
  <si>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</si>
  <si>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</si>
  <si>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</si>
  <si>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</si>
  <si>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</si>
  <si>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</si>
  <si>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</si>
  <si>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</si>
  <si>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</si>
  <si>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</si>
  <si>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</si>
  <si>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</si>
  <si>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</si>
  <si>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</si>
  <si>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</si>
  <si>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</si>
  <si>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</si>
  <si>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</si>
  <si>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</si>
  <si>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</si>
  <si>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</si>
  <si>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</si>
  <si>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</si>
  <si>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</si>
  <si>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</si>
  <si>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</si>
  <si>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</si>
  <si>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</si>
  <si>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</si>
  <si>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</si>
  <si>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</si>
  <si>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</si>
  <si>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</si>
  <si>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</si>
  <si>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</si>
  <si>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</si>
  <si>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</si>
  <si>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</si>
  <si>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</si>
  <si>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</si>
  <si>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</si>
  <si>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</si>
  <si>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</si>
  <si>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</si>
  <si>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</si>
  <si>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</si>
  <si>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</si>
  <si>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</si>
  <si>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</si>
  <si>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</si>
  <si>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</si>
  <si>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</si>
  <si>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</si>
  <si>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</si>
  <si>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</si>
  <si>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</si>
  <si>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</si>
  <si>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</si>
  <si>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</si>
  <si>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</si>
  <si>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</si>
  <si>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</si>
  <si>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</si>
  <si>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</si>
  <si>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</si>
  <si>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</si>
  <si>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</si>
  <si>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</si>
  <si>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</si>
  <si>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</si>
  <si>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</si>
  <si>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</si>
  <si>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</si>
  <si>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</si>
  <si>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</si>
  <si>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</si>
  <si>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</si>
  <si>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</si>
  <si>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</si>
  <si>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</si>
  <si>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</si>
  <si>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</si>
  <si>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</si>
  <si>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</si>
  <si>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</si>
  <si>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</si>
  <si>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</si>
  <si>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</si>
  <si>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</si>
  <si>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</si>
  <si>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</si>
  <si>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</si>
  <si>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</si>
  <si>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</si>
  <si>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</si>
  <si>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</si>
  <si>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</si>
  <si>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</si>
  <si>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</si>
  <si>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</si>
  <si>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</si>
  <si>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</si>
  <si>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</si>
  <si>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</si>
  <si>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</si>
  <si>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</si>
  <si>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</si>
  <si>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</si>
  <si>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</si>
  <si>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</si>
  <si>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</si>
  <si>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</si>
  <si>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</si>
  <si>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</si>
  <si>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</si>
  <si>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</si>
  <si>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</si>
  <si>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</si>
  <si>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</si>
  <si>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</si>
  <si>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</si>
  <si>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</si>
  <si>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</si>
  <si>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</si>
  <si>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</si>
  <si>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</si>
  <si>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</si>
  <si>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</si>
  <si>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</si>
  <si>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</si>
  <si>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</si>
  <si>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</si>
  <si>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</si>
  <si>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</si>
  <si>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</si>
  <si>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</si>
  <si>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</si>
  <si>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</si>
  <si>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</si>
  <si>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</si>
  <si>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</si>
  <si>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</si>
  <si>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</si>
  <si>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</si>
  <si>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</si>
  <si>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</si>
  <si>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</si>
  <si>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</si>
  <si>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</si>
  <si>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</si>
  <si>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</si>
  <si>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</si>
  <si>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</si>
  <si>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</si>
  <si>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</si>
  <si>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</si>
  <si>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</si>
  <si>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</si>
  <si>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</si>
  <si>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</si>
  <si>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</si>
  <si>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</si>
  <si>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</si>
  <si>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</si>
  <si>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</si>
  <si>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</si>
  <si>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</si>
  <si>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</si>
  <si>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</si>
  <si>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</si>
  <si>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</si>
  <si>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</si>
  <si>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</si>
  <si>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</si>
  <si>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</si>
  <si>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</si>
  <si>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</si>
  <si>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</si>
  <si>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</si>
  <si>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</si>
  <si>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</si>
  <si>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</si>
  <si>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</si>
  <si>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</si>
  <si>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</si>
  <si>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</si>
  <si>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</si>
  <si>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</si>
  <si>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</si>
  <si>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</si>
  <si>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</si>
  <si>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</si>
  <si>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</si>
  <si>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</si>
  <si>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</si>
  <si>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</si>
  <si>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</si>
  <si>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</si>
  <si>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</si>
  <si>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</si>
  <si>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</si>
  <si>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</si>
  <si>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</si>
  <si>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</si>
  <si>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</si>
  <si>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</si>
  <si>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</si>
  <si>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</si>
  <si>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</si>
  <si>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</si>
  <si>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</si>
  <si>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</si>
  <si>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</si>
  <si>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</si>
  <si>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</si>
  <si>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</si>
  <si>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</si>
  <si>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</si>
  <si>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</si>
  <si>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</si>
  <si>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</si>
  <si>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</si>
  <si>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</si>
  <si>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</si>
  <si>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</si>
  <si>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</si>
  <si>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</si>
  <si>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</si>
  <si>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</si>
  <si>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</si>
  <si>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</si>
  <si>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</si>
  <si>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</si>
  <si>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</si>
  <si>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</si>
  <si>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</si>
  <si>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</si>
  <si>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</si>
  <si>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</si>
  <si>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</si>
  <si>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</si>
  <si>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</si>
  <si>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</si>
  <si>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</si>
  <si>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</si>
  <si>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</si>
  <si>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</si>
  <si>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</si>
  <si>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</si>
  <si>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</si>
  <si>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</si>
  <si>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</si>
  <si>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</si>
  <si>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</si>
  <si>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</si>
  <si>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</si>
  <si>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</si>
  <si>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</si>
  <si>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</si>
  <si>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</si>
  <si>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</si>
  <si>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</si>
  <si>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</si>
  <si>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</si>
  <si>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</si>
  <si>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</si>
  <si>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</si>
  <si>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</si>
  <si>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</si>
  <si>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</si>
  <si>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</si>
  <si>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</si>
  <si>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</si>
  <si>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</si>
  <si>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</si>
  <si>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</si>
  <si>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</si>
  <si>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</si>
  <si>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</si>
  <si>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</si>
  <si>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</si>
  <si>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</si>
  <si>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</si>
  <si>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</si>
  <si>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</si>
  <si>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</si>
  <si>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</si>
  <si>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</si>
  <si>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</si>
  <si>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</si>
  <si>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</si>
  <si>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</si>
  <si>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</si>
  <si>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</si>
  <si>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</si>
  <si>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</si>
  <si>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</si>
  <si>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</si>
  <si>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</si>
  <si>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</si>
  <si>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</si>
  <si>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</si>
  <si>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</si>
  <si>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</si>
  <si>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</si>
  <si>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</si>
  <si>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</si>
  <si>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</si>
  <si>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</si>
  <si>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</si>
  <si>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</si>
  <si>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</si>
  <si>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</si>
  <si>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</si>
  <si>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</si>
  <si>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</si>
  <si>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</si>
  <si>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</si>
  <si>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</si>
  <si>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</si>
  <si>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</si>
  <si>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</si>
  <si>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</si>
  <si>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</si>
  <si>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</si>
  <si>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</si>
  <si>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</si>
  <si>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</si>
  <si>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</si>
  <si>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</si>
  <si>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</si>
  <si>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</si>
  <si>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</si>
  <si>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</si>
  <si>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</si>
  <si>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</si>
  <si>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</si>
  <si>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</si>
  <si>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</si>
  <si>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</si>
  <si>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</si>
  <si>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</si>
  <si>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</si>
  <si>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</si>
  <si>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</si>
  <si>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</si>
  <si>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</si>
  <si>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</si>
  <si>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</si>
  <si>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</si>
  <si>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</si>
  <si>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</si>
  <si>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</si>
  <si>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</si>
  <si>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</si>
  <si>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</si>
  <si>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</si>
  <si>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</si>
  <si>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</si>
  <si>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</si>
  <si>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</si>
  <si>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</si>
  <si>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</si>
  <si>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</si>
  <si>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</si>
  <si>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</si>
  <si>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</si>
  <si>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</si>
  <si>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</si>
  <si>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</si>
  <si>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</si>
  <si>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</si>
  <si>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</si>
  <si>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</si>
  <si>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</si>
  <si>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</si>
  <si>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</si>
  <si>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</si>
  <si>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</si>
  <si>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</si>
  <si>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</si>
  <si>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</si>
  <si>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</si>
  <si>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</si>
  <si>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</si>
  <si>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</si>
  <si>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</si>
  <si>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</si>
  <si>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</si>
  <si>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</si>
  <si>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</si>
  <si>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</si>
  <si>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</si>
  <si>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</si>
  <si>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</si>
  <si>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</si>
  <si>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</si>
  <si>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</si>
  <si>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</si>
  <si>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</si>
  <si>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</si>
  <si>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</si>
  <si>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</si>
  <si>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</si>
  <si>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</si>
  <si>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</si>
  <si>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</si>
  <si>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</si>
  <si>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</si>
  <si>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</si>
  <si>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</si>
  <si>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</si>
  <si>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</si>
  <si>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</si>
  <si>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</si>
  <si>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</si>
  <si>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</si>
  <si>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</si>
  <si>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</si>
  <si>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</si>
  <si>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</si>
  <si>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</si>
  <si>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</si>
  <si>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</si>
  <si>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</si>
  <si>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</si>
  <si>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</si>
  <si>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</si>
  <si>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</si>
  <si>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</si>
  <si>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</si>
  <si>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</si>
  <si>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</si>
  <si>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</si>
  <si>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</si>
  <si>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</si>
  <si>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</si>
  <si>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</si>
  <si>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</si>
  <si>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</si>
  <si>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</si>
  <si>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</si>
  <si>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</si>
  <si>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</si>
  <si>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</si>
  <si>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</si>
  <si>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</si>
  <si>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</si>
  <si>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</si>
  <si>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</si>
  <si>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</si>
  <si>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</si>
  <si>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</si>
  <si>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</si>
  <si>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</si>
  <si>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</si>
  <si>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</si>
  <si>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</si>
  <si>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</si>
  <si>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</si>
  <si>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</si>
  <si>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</si>
  <si>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</si>
  <si>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</si>
  <si>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</si>
  <si>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</si>
  <si>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</si>
  <si>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</si>
  <si>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</si>
  <si>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</si>
  <si>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</si>
  <si>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</si>
  <si>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</si>
  <si>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</si>
  <si>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</si>
  <si>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</si>
  <si>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</si>
  <si>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</si>
  <si>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</si>
  <si>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</si>
  <si>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</si>
  <si>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</si>
  <si>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</si>
  <si>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</si>
  <si>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</si>
  <si>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</si>
  <si>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</si>
  <si>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</si>
  <si>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</si>
  <si>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</si>
  <si>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</si>
  <si>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</si>
  <si>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</si>
  <si>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</si>
  <si>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</si>
  <si>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</si>
  <si>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</si>
  <si>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</si>
  <si>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</si>
  <si>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</si>
  <si>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</si>
  <si>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</si>
  <si>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</si>
  <si>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</si>
  <si>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</si>
  <si>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</si>
  <si>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</si>
  <si>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</si>
  <si>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</si>
  <si>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</si>
  <si>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</si>
  <si>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</si>
  <si>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</si>
  <si>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</si>
  <si>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</si>
  <si>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</si>
  <si>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</si>
  <si>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</si>
  <si>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</si>
  <si>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</si>
  <si>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</si>
  <si>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</si>
  <si>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</si>
  <si>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</si>
  <si>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</si>
  <si>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</si>
  <si>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</si>
  <si>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</si>
  <si>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</si>
  <si>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</si>
  <si>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</si>
  <si>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</si>
  <si>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</si>
  <si>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</si>
  <si>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</si>
  <si>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</si>
  <si>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</si>
  <si>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</si>
  <si>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</si>
  <si>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</si>
  <si>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</si>
  <si>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</si>
  <si>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</si>
  <si>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</si>
  <si>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</si>
  <si>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</si>
  <si>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</si>
  <si>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</si>
  <si>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</si>
  <si>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</si>
  <si>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</si>
  <si>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</si>
  <si>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</si>
  <si>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</si>
  <si>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</si>
  <si>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</si>
  <si>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</si>
  <si>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</si>
  <si>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</si>
  <si>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</si>
  <si>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</si>
  <si>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</si>
  <si>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</si>
  <si>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</si>
  <si>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</si>
  <si>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</si>
  <si>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</si>
  <si>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</si>
  <si>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</si>
  <si>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</si>
  <si>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</si>
  <si>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</si>
  <si>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</si>
  <si>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</si>
  <si>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</si>
  <si>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</si>
  <si>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</si>
  <si>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</si>
  <si>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</si>
  <si>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</si>
  <si>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</si>
  <si>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</si>
  <si>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</si>
  <si>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</si>
  <si>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</si>
  <si>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</si>
  <si>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</si>
  <si>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</si>
  <si>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</si>
  <si>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</si>
  <si>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</si>
  <si>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</si>
  <si>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</si>
  <si>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</si>
  <si>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</si>
  <si>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</si>
  <si>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</si>
  <si>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</si>
  <si>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</si>
  <si>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</si>
  <si>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</si>
  <si>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</si>
  <si>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</si>
  <si>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</si>
  <si>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</si>
  <si>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</si>
  <si>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</si>
  <si>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</si>
  <si>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</si>
  <si>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</si>
  <si>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</si>
  <si>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</si>
  <si>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</si>
  <si>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</si>
  <si>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</si>
  <si>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</si>
  <si>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</si>
  <si>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</si>
  <si>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</si>
  <si>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</si>
  <si>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</si>
  <si>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</si>
  <si>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</si>
  <si>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</si>
  <si>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</si>
  <si>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</si>
  <si>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</si>
  <si>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</si>
  <si>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</si>
  <si>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</si>
  <si>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</si>
  <si>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</si>
  <si>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</si>
  <si>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</si>
  <si>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</si>
  <si>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</si>
  <si>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</si>
  <si>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</si>
  <si>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</si>
  <si>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</si>
  <si>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</si>
  <si>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</si>
  <si>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</si>
  <si>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</si>
  <si>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</si>
  <si>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</si>
  <si>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</si>
  <si>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</si>
  <si>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</si>
  <si>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</si>
  <si>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</si>
  <si>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</si>
  <si>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</si>
  <si>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</si>
  <si>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</si>
  <si>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</si>
  <si>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</si>
  <si>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</si>
  <si>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</si>
  <si>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</si>
  <si>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</si>
  <si>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</si>
  <si>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</si>
  <si>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</si>
  <si>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</si>
  <si>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</si>
  <si>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</si>
  <si>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</si>
  <si>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</si>
  <si>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</si>
  <si>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</si>
  <si>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</si>
  <si>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</si>
  <si>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</si>
  <si>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</si>
  <si>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</si>
  <si>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</si>
  <si>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</si>
  <si>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</si>
  <si>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</si>
  <si>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</si>
  <si>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</si>
  <si>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</si>
  <si>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</si>
  <si>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</si>
  <si>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</si>
  <si>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</si>
  <si>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</si>
  <si>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</si>
  <si>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</si>
  <si>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</si>
  <si>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</si>
  <si>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</si>
  <si>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</si>
  <si>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</si>
  <si>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</si>
  <si>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</si>
  <si>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</si>
  <si>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</si>
  <si>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</si>
  <si>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</si>
  <si>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</si>
  <si>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</si>
  <si>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</si>
  <si>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</si>
  <si>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</si>
  <si>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</si>
  <si>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</si>
  <si>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</si>
  <si>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</si>
  <si>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</si>
  <si>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</si>
  <si>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</si>
  <si>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</si>
  <si>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</si>
  <si>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</si>
  <si>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</si>
  <si>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</si>
  <si>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</si>
  <si>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</si>
  <si>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</si>
  <si>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</si>
  <si>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</si>
  <si>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</si>
  <si>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</si>
  <si>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</si>
  <si>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</si>
  <si>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</si>
  <si>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</si>
  <si>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</si>
  <si>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</si>
  <si>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</si>
  <si>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</si>
  <si>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</si>
  <si>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</si>
  <si>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</si>
  <si>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</si>
  <si>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</si>
  <si>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</si>
  <si>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</si>
  <si>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</si>
  <si>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</si>
  <si>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</si>
  <si>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</si>
  <si>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</si>
  <si>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</si>
  <si>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</si>
  <si>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</si>
  <si>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</si>
  <si>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</si>
  <si>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</si>
  <si>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</si>
  <si>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</si>
  <si>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</si>
  <si>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</si>
  <si>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</si>
  <si>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</si>
  <si>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</si>
  <si>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</si>
  <si>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</si>
  <si>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</si>
  <si>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</si>
  <si>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</si>
  <si>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</si>
  <si>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</si>
  <si>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</si>
  <si>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</si>
  <si>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</si>
  <si>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</si>
  <si>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</si>
  <si>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</si>
  <si>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</si>
  <si>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</si>
  <si>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</si>
  <si>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</si>
  <si>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</si>
  <si>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</si>
  <si>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</si>
  <si>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</si>
  <si>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</si>
  <si>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</si>
  <si>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</si>
  <si>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</si>
  <si>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</si>
  <si>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</si>
  <si>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</si>
  <si>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</si>
  <si>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</si>
  <si>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</si>
  <si>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</si>
  <si>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</si>
  <si>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</si>
  <si>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</si>
  <si>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</si>
  <si>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</si>
  <si>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</si>
  <si>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</si>
  <si>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</si>
  <si>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</si>
  <si>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</si>
  <si>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</si>
  <si>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</si>
  <si>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</si>
  <si>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</si>
  <si>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</si>
  <si>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</si>
  <si>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</si>
  <si>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</si>
  <si>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</si>
  <si>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</si>
  <si>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</si>
  <si>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</si>
  <si>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</si>
  <si>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</si>
  <si>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</si>
  <si>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</si>
  <si>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</si>
  <si>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</si>
  <si>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</si>
  <si>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</si>
  <si>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</si>
  <si>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</si>
  <si>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</si>
  <si>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</si>
  <si>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</si>
  <si>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</si>
  <si>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</si>
  <si>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</si>
  <si>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</si>
  <si>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</si>
  <si>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</si>
  <si>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</si>
  <si>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</si>
  <si>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</si>
  <si>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</si>
  <si>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</si>
  <si>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</si>
  <si>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</si>
  <si>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</si>
  <si>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</si>
  <si>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</si>
  <si>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</si>
  <si>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</si>
  <si>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</si>
  <si>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</si>
  <si>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</si>
  <si>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</si>
  <si>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</si>
  <si>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</si>
  <si>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</si>
  <si>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</si>
  <si>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</si>
  <si>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</si>
  <si>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</si>
  <si>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</si>
  <si>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</si>
  <si>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</si>
  <si>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</si>
  <si>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</si>
  <si>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</si>
  <si>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</si>
  <si>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</si>
  <si>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</si>
  <si>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</si>
  <si>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</si>
  <si>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</si>
  <si>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</si>
  <si>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</si>
  <si>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</si>
  <si>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</si>
  <si>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</si>
  <si>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</si>
  <si>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</si>
  <si>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</si>
  <si>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</si>
  <si>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</si>
  <si>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</si>
  <si>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</si>
  <si>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</si>
  <si>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</si>
  <si>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</si>
  <si>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</si>
  <si>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</si>
  <si>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</si>
  <si>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</si>
  <si>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</si>
  <si>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</si>
  <si>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</si>
  <si>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</si>
  <si>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</si>
  <si>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</si>
  <si>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</si>
  <si>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</si>
  <si>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</si>
  <si>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</si>
  <si>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</si>
  <si>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</si>
  <si>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</si>
  <si>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</si>
  <si>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</si>
  <si>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</si>
  <si>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</si>
  <si>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</si>
  <si>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</si>
  <si>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</si>
  <si>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</si>
  <si>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</si>
  <si>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</si>
  <si>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</si>
  <si>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</si>
  <si>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</si>
  <si>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</si>
  <si>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</si>
  <si>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</si>
  <si>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</si>
  <si>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</si>
  <si>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</si>
  <si>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</si>
  <si>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</si>
  <si>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</si>
  <si>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</si>
  <si>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</si>
  <si>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</si>
  <si>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</si>
  <si>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</si>
  <si>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</si>
  <si>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</si>
  <si>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</si>
  <si>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</si>
  <si>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</si>
  <si>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</si>
  <si>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</si>
  <si>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</si>
  <si>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</si>
  <si>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</si>
  <si>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</si>
  <si>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</si>
  <si>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</si>
  <si>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</si>
  <si>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</si>
  <si>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</si>
  <si>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</si>
  <si>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</si>
  <si>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</si>
  <si>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</si>
  <si>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</si>
  <si>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</si>
  <si>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</si>
  <si>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</si>
  <si>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</si>
  <si>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</si>
  <si>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</si>
  <si>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</si>
  <si>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</si>
  <si>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</si>
  <si>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</si>
  <si>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</si>
  <si>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</si>
  <si>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</si>
  <si>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</si>
  <si>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</si>
  <si>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</si>
  <si>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</si>
  <si>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</si>
  <si>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</si>
  <si>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</si>
  <si>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</si>
  <si>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</si>
  <si>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</si>
  <si>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</si>
  <si>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</si>
  <si>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</si>
  <si>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</si>
  <si>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</si>
  <si>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</si>
  <si>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</si>
  <si>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</si>
  <si>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</si>
  <si>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</si>
  <si>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</si>
  <si>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</si>
  <si>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</si>
  <si>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</si>
  <si>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</si>
  <si>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</si>
  <si>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</si>
  <si>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</si>
  <si>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</si>
  <si>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</si>
  <si>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</si>
  <si>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</si>
  <si>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</si>
  <si>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</si>
  <si>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</si>
  <si>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</si>
  <si>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</si>
  <si>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</si>
  <si>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</si>
  <si>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</si>
  <si>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</si>
  <si>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</si>
  <si>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</si>
  <si>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</si>
  <si>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</si>
  <si>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</si>
  <si>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</si>
  <si>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</si>
  <si>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</si>
  <si>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</si>
  <si>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</si>
  <si>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</si>
  <si>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</si>
  <si>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</si>
  <si>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</si>
  <si>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</si>
  <si>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</si>
  <si>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</si>
  <si>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</si>
  <si>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</si>
  <si>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</si>
  <si>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</si>
  <si>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</si>
  <si>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</si>
  <si>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</si>
  <si>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</si>
  <si>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</si>
  <si>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</si>
  <si>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</si>
  <si>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</si>
  <si>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</si>
  <si>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</si>
  <si>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</si>
  <si>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</si>
  <si>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</si>
  <si>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</si>
  <si>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</si>
  <si>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</si>
  <si>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</si>
  <si>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</si>
  <si>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</si>
  <si>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</si>
  <si>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</si>
  <si>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</si>
  <si>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</si>
  <si>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</si>
  <si>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</si>
  <si>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</si>
  <si>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</si>
  <si>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</si>
  <si>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</si>
  <si>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</si>
  <si>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</si>
  <si>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</si>
  <si>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</si>
  <si>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</si>
  <si>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</si>
  <si>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</si>
  <si>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</si>
  <si>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</si>
  <si>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</si>
  <si>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</si>
  <si>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</si>
  <si>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</si>
  <si>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</si>
  <si>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</si>
  <si>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</si>
  <si>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</si>
  <si>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</si>
  <si>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</si>
  <si>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</si>
  <si>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</si>
  <si>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</si>
  <si>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</si>
  <si>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</si>
  <si>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</si>
  <si>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</si>
  <si>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</si>
  <si>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</si>
  <si>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</si>
  <si>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</si>
  <si>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</si>
  <si>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</si>
  <si>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</si>
  <si>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</si>
  <si>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</si>
  <si>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</si>
  <si>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</si>
  <si>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</si>
  <si>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</si>
  <si>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</si>
  <si>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</si>
  <si>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</si>
  <si>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</si>
  <si>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</si>
  <si>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</si>
  <si>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</si>
  <si>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</si>
  <si>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</si>
  <si>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</si>
  <si>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</si>
  <si>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</si>
  <si>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</si>
  <si>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</si>
  <si>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</si>
  <si>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</si>
  <si>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</si>
  <si>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</si>
  <si>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</si>
  <si>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</si>
  <si>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</si>
  <si>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</si>
  <si>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</si>
  <si>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</si>
  <si>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</si>
  <si>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</si>
  <si>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</si>
  <si>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</si>
  <si>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</si>
  <si>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</si>
  <si>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</si>
  <si>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</si>
  <si>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</si>
  <si>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</si>
  <si>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</si>
  <si>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</si>
  <si>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</si>
  <si>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</si>
  <si>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</si>
  <si>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</si>
  <si>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</si>
  <si>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</si>
  <si>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</si>
  <si>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</si>
  <si>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</si>
  <si>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</si>
  <si>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</si>
  <si>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</si>
  <si>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</si>
  <si>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</si>
  <si>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</si>
  <si>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</si>
  <si>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</si>
  <si>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</si>
  <si>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</si>
  <si>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</si>
  <si>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</si>
  <si>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</si>
  <si>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</si>
  <si>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</si>
  <si>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</si>
  <si>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</si>
  <si>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</si>
  <si>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</si>
  <si>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</si>
  <si>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</si>
  <si>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</si>
  <si>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</si>
  <si>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</si>
  <si>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</si>
  <si>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</si>
  <si>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</si>
  <si>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</si>
  <si>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</si>
  <si>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</si>
  <si>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</si>
  <si>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</si>
  <si>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</si>
  <si>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</si>
  <si>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</si>
  <si>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</si>
  <si>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</si>
  <si>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</si>
  <si>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</si>
  <si>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</si>
  <si>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</si>
  <si>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</si>
  <si>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</si>
  <si>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</si>
  <si>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</si>
  <si>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</si>
  <si>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</si>
  <si>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</si>
  <si>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</si>
  <si>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</si>
  <si>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</si>
  <si>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</si>
  <si>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</si>
  <si>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</si>
  <si>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</si>
  <si>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</si>
  <si>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</si>
  <si>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</si>
  <si>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</si>
  <si>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</si>
  <si>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</si>
  <si>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</si>
  <si>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</si>
  <si>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</si>
  <si>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</si>
  <si>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</si>
  <si>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</si>
  <si>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</si>
  <si>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</si>
  <si>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</si>
  <si>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</si>
  <si>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</si>
  <si>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</si>
  <si>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</si>
  <si>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</si>
  <si>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</si>
  <si>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</si>
  <si>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</si>
  <si>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</si>
  <si>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</si>
  <si>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</si>
  <si>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</si>
  <si>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</si>
  <si>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</si>
  <si>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</si>
  <si>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</si>
  <si>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</si>
  <si>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</si>
  <si>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</si>
  <si>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</si>
  <si>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</si>
  <si>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</si>
  <si>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</si>
  <si>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</si>
  <si>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</si>
  <si>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</si>
  <si>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</si>
  <si>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</si>
  <si>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</si>
  <si>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</si>
  <si>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</si>
  <si>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</si>
  <si>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</si>
  <si>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</si>
  <si>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</si>
  <si>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</si>
  <si>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</si>
  <si>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</si>
  <si>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</si>
  <si>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</si>
  <si>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</si>
  <si>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</si>
  <si>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</si>
  <si>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</si>
  <si>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</si>
  <si>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</si>
  <si>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</si>
  <si>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</si>
  <si>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</si>
  <si>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</si>
  <si>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</si>
  <si>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</si>
  <si>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</si>
  <si>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</si>
  <si>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</si>
  <si>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</si>
  <si>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</si>
  <si>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</si>
  <si>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</si>
  <si>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</si>
  <si>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</si>
  <si>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</si>
  <si>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</si>
  <si>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</si>
  <si>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</si>
  <si>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</si>
  <si>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</si>
  <si>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</si>
  <si>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</si>
  <si>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</si>
  <si>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</si>
  <si>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</si>
  <si>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</si>
  <si>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</si>
  <si>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</si>
  <si>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</si>
  <si>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</si>
  <si>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</si>
  <si>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</si>
  <si>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</si>
  <si>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</si>
  <si>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</si>
  <si>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</si>
  <si>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</si>
  <si>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</si>
  <si>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</si>
  <si>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</si>
  <si>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</si>
  <si>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</si>
  <si>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</si>
  <si>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</si>
  <si>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</si>
  <si>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</si>
  <si>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</si>
  <si>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</si>
  <si>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</si>
  <si>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</si>
  <si>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</si>
  <si>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</si>
  <si>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</si>
  <si>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</si>
  <si>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</si>
  <si>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</si>
  <si>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</si>
  <si>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</si>
  <si>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</si>
  <si>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</si>
  <si>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</si>
  <si>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</si>
  <si>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</si>
  <si>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</si>
  <si>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</si>
  <si>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</si>
  <si>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</si>
  <si>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</si>
  <si>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</si>
  <si>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</si>
  <si>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</si>
  <si>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</si>
  <si>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</si>
  <si>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</si>
  <si>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</si>
  <si>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</si>
  <si>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</si>
  <si>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</si>
  <si>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</si>
  <si>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</si>
  <si>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</si>
  <si>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</si>
  <si>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</si>
  <si>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</si>
  <si>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</si>
  <si>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</si>
  <si>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</si>
  <si>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</si>
  <si>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</si>
  <si>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</si>
  <si>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</si>
  <si>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</si>
  <si>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</si>
  <si>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</si>
  <si>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</si>
  <si>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</si>
  <si>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</si>
  <si>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</si>
  <si>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</si>
  <si>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</si>
  <si>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</si>
  <si>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</si>
  <si>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</si>
  <si>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</si>
  <si>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</si>
  <si>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</si>
  <si>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</si>
  <si>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</si>
  <si>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</si>
  <si>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</si>
  <si>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</si>
  <si>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</si>
  <si>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</si>
  <si>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</si>
  <si>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</si>
  <si>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</si>
  <si>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</si>
  <si>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</si>
  <si>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</si>
  <si>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</si>
  <si>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</si>
  <si>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</si>
  <si>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</si>
  <si>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</si>
  <si>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</si>
  <si>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</si>
  <si>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</si>
  <si>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</si>
  <si>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</si>
  <si>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</si>
  <si>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</si>
  <si>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</si>
  <si>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</si>
  <si>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</si>
  <si>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</si>
  <si>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</si>
  <si>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</si>
  <si>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</si>
  <si>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</si>
  <si>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</si>
  <si>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</si>
  <si>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</si>
  <si>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</si>
  <si>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</si>
  <si>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</si>
  <si>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</si>
  <si>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</si>
  <si>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</si>
  <si>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</si>
  <si>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</si>
  <si>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</si>
  <si>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</si>
  <si>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</si>
  <si>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</si>
  <si>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</si>
  <si>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</si>
  <si>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</si>
  <si>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</si>
  <si>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</si>
  <si>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</si>
  <si>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</si>
  <si>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</si>
  <si>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</si>
  <si>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</si>
  <si>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</si>
  <si>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</si>
  <si>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</si>
  <si>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</si>
  <si>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</si>
  <si>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</si>
  <si>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</si>
  <si>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</si>
  <si>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</si>
  <si>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</si>
  <si>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</si>
  <si>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</si>
  <si>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</si>
  <si>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</si>
  <si>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</si>
  <si>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</si>
  <si>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</si>
  <si>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</si>
  <si>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</si>
  <si>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</si>
  <si>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</si>
  <si>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</si>
  <si>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</si>
  <si>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</si>
  <si>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</si>
  <si>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</si>
  <si>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</si>
  <si>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</si>
  <si>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</si>
  <si>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</si>
  <si>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</si>
  <si>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</si>
  <si>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</si>
  <si>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</si>
  <si>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</si>
  <si>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</si>
  <si>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</si>
  <si>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</si>
  <si>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</si>
  <si>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</si>
  <si>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</si>
  <si>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</si>
  <si>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</si>
  <si>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</si>
  <si>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</si>
  <si>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</si>
  <si>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</si>
  <si>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</si>
  <si>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</si>
  <si>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</si>
  <si>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</si>
  <si>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</si>
  <si>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</si>
  <si>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</si>
  <si>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</si>
  <si>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</si>
  <si>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</si>
  <si>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</si>
  <si>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</si>
  <si>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</si>
  <si>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</si>
  <si>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</si>
  <si>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</si>
  <si>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</si>
  <si>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</si>
  <si>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</si>
  <si>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</si>
  <si>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</si>
  <si>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</si>
  <si>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</si>
  <si>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</si>
  <si>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</si>
  <si>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</si>
  <si>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</si>
  <si>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</si>
  <si>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</si>
  <si>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</si>
  <si>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</si>
  <si>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</si>
  <si>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</si>
  <si>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</si>
  <si>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</si>
  <si>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</si>
  <si>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</si>
  <si>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</si>
  <si>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</si>
  <si>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</si>
  <si>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</si>
  <si>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</si>
  <si>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</si>
  <si>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</si>
  <si>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</si>
  <si>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</si>
  <si>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</si>
  <si>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</si>
  <si>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</si>
  <si>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</si>
  <si>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</si>
  <si>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</si>
  <si>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</si>
  <si>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</si>
  <si>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</si>
  <si>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</si>
  <si>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</si>
  <si>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</si>
  <si>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</si>
  <si>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</si>
  <si>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</si>
  <si>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</si>
  <si>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</si>
  <si>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</si>
  <si>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</si>
  <si>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</si>
  <si>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</si>
  <si>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</si>
  <si>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</si>
  <si>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</si>
  <si>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</si>
  <si>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</si>
  <si>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</si>
  <si>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</si>
  <si>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</si>
  <si>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</si>
  <si>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</si>
  <si>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</si>
  <si>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</si>
  <si>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</si>
  <si>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</si>
  <si>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</si>
  <si>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</si>
  <si>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</si>
  <si>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</si>
  <si>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</si>
  <si>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</si>
  <si>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</si>
  <si>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</si>
  <si>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</si>
  <si>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</si>
  <si>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</si>
  <si>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</si>
  <si>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</si>
  <si>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</si>
  <si>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</si>
  <si>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</si>
  <si>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</si>
  <si>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</si>
  <si>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</si>
  <si>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</si>
  <si>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</si>
  <si>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</si>
  <si>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</si>
  <si>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</si>
  <si>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</si>
  <si>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</si>
  <si>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</si>
  <si>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</si>
  <si>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</si>
  <si>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</si>
  <si>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</si>
  <si>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</si>
  <si>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</si>
  <si>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</si>
  <si>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</si>
  <si>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</si>
  <si>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</si>
  <si>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</si>
  <si>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</si>
  <si>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</si>
  <si>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</si>
  <si>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</si>
  <si>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</si>
  <si>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</si>
  <si>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</si>
  <si>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</si>
  <si>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</si>
  <si>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</si>
  <si>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</si>
  <si>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</si>
  <si>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</si>
  <si>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</si>
  <si>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</si>
  <si>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</si>
  <si>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</si>
  <si>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</si>
  <si>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</si>
  <si>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</si>
  <si>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</si>
  <si>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</si>
  <si>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</si>
  <si>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</si>
  <si>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</si>
  <si>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</si>
  <si>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</si>
  <si>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</si>
  <si>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</si>
  <si>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</si>
  <si>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</si>
  <si>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</si>
  <si>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</si>
  <si>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</si>
  <si>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</si>
  <si>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</si>
  <si>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</si>
  <si>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</si>
  <si>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</si>
  <si>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</si>
  <si>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</si>
  <si>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</si>
  <si>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</si>
  <si>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</si>
  <si>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</si>
  <si>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</si>
  <si>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</si>
  <si>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</si>
  <si>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</si>
  <si>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</si>
  <si>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</si>
  <si>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</si>
  <si>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</si>
  <si>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</si>
  <si>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</si>
  <si>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</si>
  <si>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</si>
  <si>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</si>
  <si>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</si>
  <si>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</si>
  <si>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</si>
  <si>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</si>
  <si>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</si>
  <si>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</si>
  <si>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</si>
  <si>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</si>
  <si>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</si>
  <si>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</si>
  <si>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</si>
  <si>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</si>
  <si>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</si>
  <si>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</si>
  <si>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</si>
  <si>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</si>
  <si>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</si>
  <si>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</si>
  <si>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</si>
  <si>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</si>
  <si>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</si>
  <si>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</si>
  <si>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</si>
  <si>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</si>
  <si>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</si>
  <si>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</si>
  <si>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</si>
  <si>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</si>
  <si>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</si>
  <si>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</si>
  <si>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</si>
  <si>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</si>
  <si>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</si>
  <si>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</si>
  <si>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</si>
  <si>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</si>
  <si>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</si>
  <si>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</si>
  <si>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</si>
  <si>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</si>
  <si>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</si>
  <si>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</si>
  <si>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</si>
  <si>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</si>
  <si>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</si>
  <si>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</si>
  <si>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</si>
  <si>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</si>
  <si>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</si>
  <si>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</si>
  <si>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</si>
  <si>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</si>
  <si>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</si>
  <si>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</si>
  <si>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</si>
  <si>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</si>
  <si>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</si>
  <si>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</si>
  <si>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</si>
  <si>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</si>
  <si>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</si>
  <si>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</si>
  <si>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</si>
  <si>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</si>
  <si>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</si>
  <si>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</si>
  <si>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</si>
  <si>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</si>
  <si>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</si>
  <si>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</si>
  <si>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</si>
  <si>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</si>
  <si>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</si>
  <si>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</si>
  <si>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</si>
  <si>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</si>
  <si>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</si>
  <si>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</si>
  <si>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</si>
  <si>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</si>
  <si>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</si>
  <si>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</si>
  <si>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</si>
  <si>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</si>
  <si>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</si>
  <si>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</si>
  <si>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</si>
  <si>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</si>
  <si>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</si>
  <si>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</si>
  <si>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</si>
  <si>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</si>
  <si>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</si>
  <si>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</si>
  <si>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</si>
  <si>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</si>
  <si>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</si>
  <si>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</si>
  <si>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</si>
  <si>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</si>
  <si>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</si>
  <si>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</si>
  <si>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</si>
  <si>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</si>
  <si>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</si>
  <si>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</si>
  <si>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</si>
  <si>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</si>
  <si>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</si>
  <si>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</si>
  <si>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</si>
  <si>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</si>
  <si>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</si>
  <si>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</si>
  <si>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</si>
  <si>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</si>
  <si>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</si>
  <si>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</si>
  <si>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</si>
  <si>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</si>
  <si>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</si>
  <si>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</si>
  <si>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</si>
  <si>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</si>
  <si>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</si>
  <si>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</si>
  <si>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</si>
  <si>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</si>
  <si>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</si>
  <si>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</si>
  <si>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</si>
  <si>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</si>
  <si>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</si>
  <si>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</si>
  <si>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</si>
  <si>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</si>
  <si>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</si>
  <si>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</si>
  <si>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</si>
  <si>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</si>
  <si>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</si>
  <si>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</si>
  <si>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</si>
  <si>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</si>
  <si>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</si>
  <si>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</si>
  <si>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</si>
  <si>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</si>
  <si>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</si>
  <si>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</si>
  <si>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</si>
  <si>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</si>
  <si>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</si>
  <si>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</si>
  <si>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</si>
  <si>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</si>
  <si>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</si>
  <si>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</si>
  <si>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</si>
  <si>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</si>
  <si>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</si>
  <si>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</si>
  <si>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</si>
  <si>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</si>
  <si>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</si>
  <si>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</si>
  <si>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</si>
  <si>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</si>
  <si>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</si>
  <si>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</si>
  <si>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</si>
  <si>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</si>
  <si>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</si>
  <si>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</si>
  <si>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</si>
  <si>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</si>
  <si>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</si>
  <si>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</si>
  <si>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</si>
  <si>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</si>
  <si>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</si>
  <si>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</si>
  <si>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</si>
  <si>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</si>
  <si>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</si>
  <si>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</si>
  <si>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</si>
  <si>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</si>
  <si>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</si>
  <si>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</si>
  <si>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</si>
  <si>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</si>
  <si>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</si>
  <si>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</si>
  <si>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</si>
  <si>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</si>
  <si>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</si>
  <si>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</si>
  <si>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</si>
  <si>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</si>
  <si>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</si>
  <si>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</si>
  <si>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</si>
  <si>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</si>
  <si>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</si>
  <si>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</si>
  <si>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</si>
  <si>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</si>
  <si>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</si>
  <si>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</si>
  <si>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</si>
  <si>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</si>
  <si>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</si>
  <si>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</si>
  <si>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</si>
  <si>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</si>
  <si>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</si>
  <si>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</si>
  <si>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</si>
  <si>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</si>
  <si>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</si>
  <si>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</si>
  <si>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</si>
  <si>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</si>
  <si>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</si>
  <si>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</si>
  <si>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</si>
  <si>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</si>
  <si>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</si>
  <si>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</si>
  <si>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</si>
  <si>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</si>
  <si>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</si>
  <si>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</si>
  <si>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</si>
  <si>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</si>
  <si>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</si>
  <si>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</si>
  <si>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</si>
  <si>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</si>
  <si>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</si>
  <si>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</si>
  <si>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</si>
  <si>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</si>
  <si>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</si>
  <si>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</si>
  <si>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</si>
  <si>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</si>
  <si>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</si>
  <si>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</si>
  <si>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</si>
  <si>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</si>
  <si>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</si>
  <si>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</si>
  <si>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</si>
  <si>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</si>
  <si>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</si>
  <si>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</si>
  <si>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</si>
  <si>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</si>
  <si>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</si>
  <si>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</si>
  <si>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</si>
  <si>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</si>
  <si>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</si>
  <si>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</si>
  <si>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</si>
  <si>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</si>
  <si>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</si>
  <si>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</si>
  <si>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</si>
  <si>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</si>
  <si>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</si>
  <si>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</si>
  <si>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</si>
  <si>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</si>
  <si>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</si>
  <si>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</si>
  <si>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</si>
  <si>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</si>
  <si>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</si>
  <si>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</si>
  <si>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</si>
  <si>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</si>
  <si>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</si>
  <si>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</si>
  <si>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</si>
  <si>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</si>
  <si>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</si>
  <si>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</si>
  <si>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</si>
  <si>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</si>
  <si>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</si>
  <si>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</si>
  <si>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</si>
  <si>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</si>
  <si>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</si>
  <si>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</si>
  <si>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</si>
  <si>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</si>
  <si>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</si>
  <si>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</si>
  <si>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</si>
  <si>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</si>
  <si>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</si>
  <si>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</si>
  <si>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</si>
  <si>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</si>
  <si>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</si>
  <si>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</si>
  <si>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</si>
  <si>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</si>
  <si>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</si>
  <si>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</si>
  <si>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</si>
  <si>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</si>
  <si>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</si>
  <si>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</si>
  <si>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</si>
  <si>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</si>
  <si>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</si>
  <si>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</si>
  <si>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</si>
  <si>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</si>
  <si>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</si>
  <si>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</si>
  <si>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</si>
  <si>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</si>
  <si>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</si>
  <si>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</si>
  <si>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</si>
  <si>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</si>
  <si>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</si>
  <si>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</si>
  <si>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</si>
  <si>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</si>
  <si>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</si>
  <si>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</si>
  <si>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</si>
  <si>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</si>
  <si>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</si>
  <si>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</si>
  <si>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</si>
  <si>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</si>
  <si>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</si>
  <si>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</si>
  <si>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</si>
  <si>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</si>
  <si>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</si>
  <si>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</si>
  <si>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</si>
  <si>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</si>
  <si>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</si>
  <si>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</si>
  <si>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</si>
  <si>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</si>
  <si>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</si>
  <si>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</si>
  <si>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</si>
  <si>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</si>
  <si>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</si>
  <si>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</si>
  <si>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</si>
  <si>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</si>
  <si>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</si>
  <si>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</si>
  <si>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</si>
  <si>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</si>
  <si>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</si>
  <si>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</si>
  <si>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</si>
  <si>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</si>
  <si>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</si>
  <si>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</si>
  <si>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</si>
  <si>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</si>
  <si>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</si>
  <si>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</si>
  <si>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</si>
  <si>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</si>
  <si>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</si>
  <si>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</si>
  <si>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</si>
  <si>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</si>
  <si>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</si>
  <si>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</si>
  <si>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</si>
  <si>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</si>
  <si>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</si>
  <si>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</si>
  <si>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</si>
  <si>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</si>
  <si>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</si>
  <si>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</si>
  <si>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</si>
  <si>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</si>
  <si>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</si>
  <si>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</si>
  <si>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</si>
  <si>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</si>
  <si>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</si>
  <si>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</si>
  <si>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</si>
  <si>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</si>
  <si>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</si>
  <si>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</si>
  <si>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</si>
  <si>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</si>
  <si>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</si>
  <si>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</si>
  <si>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</si>
  <si>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</si>
  <si>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</si>
  <si>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</si>
  <si>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</si>
  <si>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</si>
  <si>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</si>
  <si>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</si>
  <si>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</si>
  <si>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</si>
  <si>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</si>
  <si>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</si>
  <si>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</si>
  <si>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</si>
  <si>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</si>
  <si>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</si>
  <si>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</si>
  <si>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</si>
  <si>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</si>
  <si>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</si>
  <si>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</si>
  <si>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</si>
  <si>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</si>
  <si>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</si>
  <si>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</si>
  <si>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</si>
  <si>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</si>
  <si>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</si>
  <si>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</si>
  <si>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</si>
  <si>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</si>
  <si>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</si>
  <si>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</si>
  <si>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</si>
  <si>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</si>
  <si>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</si>
  <si>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</si>
  <si>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</si>
  <si>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</si>
  <si>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</si>
  <si>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</si>
  <si>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</si>
  <si>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</si>
  <si>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</si>
  <si>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</si>
  <si>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</si>
  <si>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</si>
  <si>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</si>
  <si>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</si>
  <si>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</si>
  <si>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</si>
  <si>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</si>
  <si>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</si>
  <si>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</si>
  <si>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</si>
  <si>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</si>
  <si>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</si>
  <si>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</si>
  <si>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</si>
  <si>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</si>
  <si>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</si>
  <si>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</si>
  <si>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</si>
  <si>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</si>
  <si>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</si>
  <si>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</si>
  <si>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</si>
  <si>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</si>
  <si>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</si>
  <si>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</si>
  <si>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</si>
  <si>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</si>
  <si>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</si>
  <si>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</si>
  <si>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</si>
  <si>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</si>
  <si>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</si>
  <si>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</si>
  <si>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</si>
  <si>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</si>
  <si>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</si>
  <si>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</si>
  <si>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</si>
  <si>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</si>
  <si>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</si>
  <si>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</si>
  <si>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</si>
  <si>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</si>
  <si>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</si>
  <si>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</si>
  <si>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</si>
  <si>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</si>
  <si>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</si>
  <si>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</si>
  <si>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</si>
  <si>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</si>
  <si>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</si>
  <si>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</si>
  <si>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</si>
  <si>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</si>
  <si>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</si>
  <si>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</si>
  <si>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</si>
  <si>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</si>
  <si>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</si>
  <si>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</si>
  <si>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</si>
  <si>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</si>
  <si>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</si>
  <si>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</si>
  <si>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</si>
  <si>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</si>
  <si>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</si>
  <si>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</si>
  <si>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</si>
  <si>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</si>
  <si>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</si>
  <si>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</si>
  <si>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</si>
  <si>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</si>
  <si>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</si>
  <si>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</si>
  <si>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</si>
  <si>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</si>
  <si>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</si>
  <si>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</si>
  <si>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</si>
  <si>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</si>
  <si>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</si>
  <si>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</si>
  <si>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</si>
  <si>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</si>
  <si>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</si>
  <si>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</si>
  <si>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</si>
  <si>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</si>
  <si>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</si>
  <si>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</si>
  <si>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</si>
  <si>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</si>
  <si>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</si>
  <si>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</si>
  <si>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</si>
  <si>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</si>
  <si>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</si>
  <si>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</si>
  <si>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</si>
  <si>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</si>
  <si>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</si>
  <si>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</si>
  <si>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</si>
  <si>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</si>
  <si>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</si>
  <si>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</si>
  <si>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</si>
  <si>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</si>
  <si>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</si>
  <si>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</si>
  <si>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</si>
  <si>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</si>
  <si>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</si>
  <si>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</si>
  <si>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</si>
  <si>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</si>
  <si>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</si>
  <si>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</si>
  <si>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</si>
  <si>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</si>
  <si>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</si>
  <si>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</si>
  <si>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</si>
  <si>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</si>
  <si>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</si>
  <si>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</si>
  <si>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</si>
  <si>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</si>
  <si>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</si>
  <si>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</si>
  <si>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</si>
  <si>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</si>
  <si>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</si>
  <si>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</si>
  <si>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</si>
  <si>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</si>
  <si>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</si>
  <si>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</si>
  <si>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</si>
  <si>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</si>
  <si>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</si>
  <si>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</si>
  <si>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</si>
  <si>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</si>
  <si>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</si>
  <si>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</si>
  <si>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</si>
  <si>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</si>
  <si>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</si>
  <si>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</si>
  <si>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</si>
  <si>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</si>
  <si>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</si>
  <si>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</si>
  <si>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</si>
  <si>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</si>
  <si>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</si>
  <si>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</si>
  <si>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</si>
  <si>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</si>
  <si>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</si>
  <si>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</si>
  <si>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</si>
  <si>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</si>
  <si>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</si>
  <si>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</si>
  <si>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</si>
  <si>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</si>
  <si>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</si>
  <si>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</si>
  <si>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</si>
  <si>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</si>
  <si>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</si>
  <si>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</si>
  <si>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</si>
  <si>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</si>
  <si>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</si>
  <si>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</si>
  <si>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</si>
  <si>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</si>
  <si>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</si>
  <si>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</si>
  <si>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</si>
  <si>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</si>
  <si>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</si>
  <si>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</si>
  <si>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</si>
  <si>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</si>
  <si>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</si>
  <si>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</si>
  <si>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</si>
  <si>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</si>
  <si>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</si>
  <si>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</si>
  <si>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</si>
  <si>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</si>
  <si>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</si>
  <si>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</si>
  <si>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</si>
  <si>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</si>
  <si>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</si>
  <si>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</si>
  <si>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</si>
  <si>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</si>
  <si>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</si>
  <si>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</si>
  <si>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</si>
  <si>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</si>
  <si>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</si>
  <si>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</si>
  <si>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</si>
  <si>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</si>
  <si>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</si>
  <si>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</si>
  <si>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</si>
  <si>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</si>
  <si>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</si>
  <si>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</si>
  <si>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</si>
  <si>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</si>
  <si>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</si>
  <si>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</si>
  <si>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</si>
  <si>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</si>
  <si>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</si>
  <si>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</si>
  <si>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</si>
  <si>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</si>
  <si>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</si>
  <si>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</si>
  <si>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</si>
  <si>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</si>
  <si>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</si>
  <si>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</si>
  <si>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</si>
  <si>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</si>
  <si>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</si>
  <si>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</si>
  <si>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</si>
  <si>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</si>
  <si>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</si>
  <si>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</si>
  <si>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</si>
  <si>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</si>
  <si>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</si>
  <si>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</si>
  <si>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</si>
  <si>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</si>
  <si>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</si>
  <si>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</si>
  <si>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</si>
  <si>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</si>
  <si>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</si>
  <si>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</si>
  <si>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</si>
  <si>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</si>
  <si>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</si>
  <si>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</si>
  <si>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</si>
  <si>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</si>
  <si>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</si>
  <si>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</si>
  <si>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</si>
  <si>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</si>
  <si>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</si>
  <si>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</si>
  <si>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</si>
  <si>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</si>
  <si>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</si>
  <si>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</si>
  <si>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</si>
  <si>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</si>
  <si>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</si>
  <si>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</si>
  <si>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</si>
  <si>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</si>
  <si>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</si>
  <si>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</si>
  <si>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</si>
  <si>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</si>
  <si>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</si>
  <si>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</si>
  <si>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</si>
  <si>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</si>
  <si>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</si>
  <si>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</si>
  <si>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</si>
  <si>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</si>
  <si>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</si>
  <si>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</si>
  <si>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</si>
  <si>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</si>
  <si>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</si>
  <si>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</si>
  <si>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</si>
  <si>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</si>
  <si>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</si>
  <si>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</si>
  <si>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</si>
  <si>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</si>
  <si>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</si>
  <si>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</si>
  <si>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</si>
  <si>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</si>
  <si>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</si>
  <si>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</si>
  <si>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</si>
  <si>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</si>
  <si>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</si>
  <si>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</si>
  <si>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</si>
  <si>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</si>
  <si>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</si>
  <si>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</si>
  <si>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</si>
  <si>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</si>
  <si>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</si>
  <si>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</si>
  <si>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</si>
  <si>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</si>
  <si>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</si>
  <si>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</si>
  <si>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</si>
  <si>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</si>
  <si>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</si>
  <si>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</si>
  <si>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</si>
  <si>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</si>
  <si>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</si>
  <si>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</si>
  <si>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</si>
  <si>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</si>
  <si>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</si>
  <si>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</si>
  <si>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</si>
  <si>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</si>
  <si>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</si>
  <si>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</si>
  <si>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</si>
  <si>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</si>
  <si>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</si>
  <si>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</si>
  <si>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</si>
  <si>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</si>
  <si>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</si>
  <si>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</si>
  <si>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</si>
  <si>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</si>
  <si>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</si>
  <si>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</si>
  <si>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</si>
  <si>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</si>
  <si>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</si>
  <si>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</si>
  <si>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</si>
  <si>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</si>
  <si>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</si>
  <si>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</si>
  <si>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</si>
  <si>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</si>
  <si>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</si>
  <si>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</si>
  <si>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</si>
  <si>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</si>
  <si>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</si>
  <si>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</si>
  <si>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</si>
  <si>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</si>
  <si>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</si>
  <si>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</si>
  <si>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</si>
  <si>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</si>
  <si>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</si>
  <si>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</si>
  <si>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</si>
  <si>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</si>
  <si>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</si>
  <si>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</si>
  <si>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</si>
  <si>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</si>
  <si>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</si>
  <si>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</si>
  <si>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</si>
  <si>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</si>
  <si>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</si>
  <si>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</si>
  <si>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</si>
  <si>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</si>
  <si>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</si>
  <si>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</si>
  <si>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</si>
  <si>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</si>
  <si>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</si>
  <si>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</si>
  <si>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</si>
  <si>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</si>
  <si>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</si>
  <si>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</si>
  <si>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</si>
  <si>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</si>
  <si>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</si>
  <si>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</si>
  <si>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</si>
  <si>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</si>
  <si>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</si>
  <si>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</si>
  <si>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</si>
  <si>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</si>
  <si>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</si>
  <si>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</si>
  <si>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</si>
  <si>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</si>
  <si>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</si>
  <si>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</si>
  <si>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</si>
  <si>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</si>
  <si>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</si>
  <si>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</si>
  <si>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</si>
  <si>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</si>
  <si>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</si>
  <si>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</si>
  <si>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</si>
  <si>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</si>
  <si>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</si>
  <si>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</si>
  <si>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</si>
  <si>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</si>
  <si>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</si>
  <si>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</si>
  <si>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</si>
  <si>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</si>
  <si>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</si>
  <si>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</si>
  <si>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</si>
  <si>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</si>
  <si>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</si>
  <si>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</si>
  <si>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</si>
  <si>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</si>
  <si>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</si>
  <si>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</si>
  <si>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</si>
  <si>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</si>
  <si>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</si>
  <si>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</si>
  <si>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</si>
  <si>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</si>
  <si>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</si>
  <si>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</si>
  <si>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</si>
  <si>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</si>
  <si>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</si>
  <si>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</si>
  <si>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</si>
  <si>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</si>
  <si>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</si>
  <si>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</si>
  <si>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</si>
  <si>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</si>
  <si>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</si>
  <si>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</si>
  <si>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</si>
  <si>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</si>
  <si>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</si>
  <si>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</si>
  <si>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</si>
  <si>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</si>
  <si>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</si>
  <si>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</si>
  <si>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</si>
  <si>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</si>
  <si>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</si>
  <si>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</si>
  <si>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</si>
  <si>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</si>
  <si>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</si>
  <si>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</si>
  <si>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</si>
  <si>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</si>
  <si>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</si>
  <si>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</si>
  <si>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</si>
  <si>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</si>
  <si>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</si>
  <si>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</si>
  <si>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</si>
  <si>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</si>
  <si>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</si>
  <si>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</si>
  <si>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</si>
  <si>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</si>
  <si>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</si>
  <si>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</si>
  <si>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</si>
  <si>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</si>
  <si>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</si>
  <si>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</si>
  <si>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</si>
  <si>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</si>
  <si>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</si>
  <si>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</si>
  <si>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</si>
  <si>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</si>
  <si>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</si>
  <si>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</si>
  <si>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</si>
  <si>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</si>
  <si>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</si>
  <si>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</si>
  <si>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</si>
  <si>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</si>
  <si>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</si>
  <si>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</si>
  <si>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</si>
  <si>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</si>
  <si>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</si>
  <si>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</si>
  <si>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</si>
  <si>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</si>
  <si>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</si>
  <si>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</si>
  <si>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</si>
  <si>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</si>
  <si>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</si>
  <si>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</si>
  <si>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</si>
  <si>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</si>
  <si>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</si>
  <si>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</si>
  <si>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</si>
  <si>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</si>
  <si>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</si>
  <si>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</si>
  <si>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</si>
  <si>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</si>
  <si>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</si>
  <si>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</si>
  <si>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</si>
  <si>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</si>
  <si>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</si>
  <si>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</si>
  <si>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</si>
  <si>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</si>
  <si>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</si>
  <si>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</si>
  <si>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</si>
  <si>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</si>
  <si>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</si>
  <si>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</si>
  <si>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</si>
  <si>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</si>
  <si>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</si>
  <si>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</si>
  <si>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</si>
  <si>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</si>
  <si>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</si>
  <si>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</si>
  <si>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</si>
  <si>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</si>
  <si>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</si>
  <si>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</si>
  <si>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</si>
  <si>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</si>
  <si>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</si>
  <si>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</si>
  <si>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</si>
  <si>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</si>
  <si>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</si>
  <si>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</si>
  <si>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</si>
  <si>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</si>
  <si>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</si>
  <si>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</si>
  <si>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</si>
  <si>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</si>
  <si>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</si>
  <si>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</si>
  <si>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</si>
  <si>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</si>
  <si>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</si>
  <si>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</si>
  <si>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</si>
  <si>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</si>
  <si>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</si>
  <si>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</si>
  <si>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</si>
  <si>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</si>
  <si>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</si>
  <si>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</si>
  <si>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</si>
  <si>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</si>
  <si>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</si>
  <si>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</si>
  <si>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</si>
  <si>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</si>
  <si>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</si>
  <si>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</si>
  <si>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</si>
  <si>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</si>
  <si>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</si>
  <si>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</si>
  <si>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</si>
  <si>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</si>
  <si>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</si>
  <si>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</si>
  <si>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</si>
  <si>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</si>
  <si>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</si>
  <si>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</si>
  <si>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</si>
  <si>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</si>
  <si>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</si>
  <si>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</si>
  <si>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</si>
  <si>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</si>
  <si>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</si>
  <si>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</si>
  <si>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</si>
  <si>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</si>
  <si>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</si>
  <si>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</si>
  <si>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</si>
  <si>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</si>
  <si>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</si>
  <si>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</si>
  <si>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</si>
  <si>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</si>
  <si>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</si>
  <si>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</si>
  <si>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</si>
  <si>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</si>
  <si>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</si>
  <si>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</si>
  <si>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</si>
  <si>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</si>
  <si>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</si>
  <si>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</si>
  <si>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</si>
  <si>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</si>
  <si>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</si>
  <si>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</si>
  <si>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</si>
  <si>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</si>
  <si>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</si>
  <si>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</si>
  <si>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</si>
  <si>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</si>
  <si>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</si>
  <si>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</si>
  <si>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</si>
  <si>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</si>
  <si>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</si>
  <si>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</si>
  <si>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</si>
  <si>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</si>
  <si>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</si>
  <si>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</si>
  <si>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</si>
  <si>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</si>
  <si>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</si>
  <si>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</si>
  <si>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</si>
  <si>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</si>
  <si>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</si>
  <si>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</si>
  <si>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</si>
  <si>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</si>
  <si>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</si>
  <si>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</si>
  <si>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</si>
  <si>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</si>
  <si>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</si>
  <si>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</si>
  <si>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</si>
  <si>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</si>
  <si>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</si>
  <si>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</si>
  <si>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</si>
  <si>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</si>
  <si>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</si>
  <si>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</si>
  <si>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</si>
  <si>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</si>
  <si>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</si>
  <si>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</si>
  <si>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</si>
  <si>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</si>
  <si>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</si>
  <si>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</si>
  <si>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</si>
  <si>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</si>
  <si>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</si>
  <si>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</si>
  <si>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</si>
  <si>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</si>
  <si>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</si>
  <si>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</si>
  <si>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</si>
  <si>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</si>
  <si>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</si>
  <si>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</si>
  <si>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</si>
  <si>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</si>
  <si>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</si>
  <si>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</si>
  <si>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</si>
  <si>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</si>
  <si>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</si>
  <si>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</si>
  <si>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</si>
  <si>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</si>
  <si>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</si>
  <si>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</si>
  <si>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</si>
  <si>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</si>
  <si>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</si>
  <si>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</si>
  <si>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</si>
  <si>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</si>
  <si>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</si>
  <si>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</si>
  <si>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</si>
  <si>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</si>
  <si>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</si>
  <si>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</si>
  <si>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</si>
  <si>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</si>
  <si>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</si>
  <si>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</si>
  <si>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</si>
  <si>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</si>
  <si>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</si>
  <si>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</si>
  <si>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</si>
  <si>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</si>
  <si>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</si>
  <si>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</si>
  <si>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</si>
  <si>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</si>
  <si>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</si>
  <si>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</si>
  <si>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</si>
  <si>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</si>
  <si>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</si>
  <si>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</si>
  <si>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</si>
  <si>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</si>
  <si>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</si>
  <si>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</si>
  <si>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</si>
  <si>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</si>
  <si>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</si>
  <si>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</si>
  <si>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</si>
  <si>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</si>
  <si>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</si>
  <si>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</si>
  <si>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</si>
  <si>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</si>
  <si>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</si>
  <si>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</si>
  <si>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</si>
  <si>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</si>
  <si>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</si>
  <si>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</si>
  <si>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</si>
  <si>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</si>
  <si>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</si>
  <si>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</si>
  <si>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</si>
  <si>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</si>
  <si>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</si>
  <si>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</si>
  <si>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</si>
  <si>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</si>
  <si>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</si>
  <si>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</si>
  <si>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</si>
  <si>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</si>
  <si>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</si>
  <si>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</si>
  <si>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</si>
  <si>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</si>
  <si>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</si>
  <si>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</si>
  <si>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</si>
  <si>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</si>
  <si>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</si>
  <si>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</si>
  <si>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</si>
  <si>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</si>
  <si>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</si>
  <si>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</si>
  <si>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</si>
  <si>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</si>
  <si>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</si>
  <si>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</si>
  <si>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</si>
  <si>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</si>
  <si>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</si>
  <si>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</si>
  <si>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</si>
  <si>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</si>
  <si>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</si>
  <si>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</si>
  <si>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</si>
  <si>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</si>
  <si>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</si>
  <si>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</si>
  <si>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</si>
  <si>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</si>
  <si>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</si>
  <si>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</si>
  <si>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</si>
  <si>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</si>
  <si>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</si>
  <si>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</si>
  <si>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</si>
  <si>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</si>
  <si>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</si>
  <si>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</si>
  <si>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</si>
  <si>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</si>
  <si>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</si>
  <si>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</si>
  <si>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</si>
  <si>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</si>
  <si>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</si>
  <si>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</si>
  <si>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</si>
  <si>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</si>
  <si>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</si>
  <si>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</si>
  <si>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</si>
  <si>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</si>
  <si>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</si>
  <si>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</si>
  <si>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</si>
  <si>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</si>
  <si>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</si>
  <si>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</si>
  <si>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</si>
  <si>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</si>
  <si>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</si>
  <si>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</si>
  <si>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</si>
  <si>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</si>
  <si>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</si>
  <si>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</si>
  <si>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</si>
  <si>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</si>
  <si>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</si>
  <si>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</si>
  <si>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</si>
  <si>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</si>
  <si>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</si>
  <si>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</si>
  <si>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</si>
  <si>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</si>
  <si>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</si>
  <si>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</si>
  <si>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</si>
  <si>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</si>
  <si>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</si>
  <si>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</si>
  <si>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</si>
  <si>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</si>
  <si>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</si>
  <si>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</si>
  <si>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</si>
  <si>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</si>
  <si>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</si>
  <si>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</si>
  <si>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</si>
  <si>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</si>
  <si>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</si>
  <si>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</si>
  <si>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</si>
  <si>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</si>
  <si>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</si>
  <si>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</si>
  <si>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</si>
  <si>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</si>
  <si>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</si>
  <si>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</si>
  <si>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</si>
  <si>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</si>
  <si>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</si>
  <si>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</si>
  <si>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</si>
  <si>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</si>
  <si>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</si>
  <si>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</si>
  <si>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</si>
  <si>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</si>
  <si>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</si>
  <si>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</si>
  <si>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</si>
  <si>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</si>
  <si>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</si>
  <si>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</si>
  <si>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</si>
  <si>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</si>
  <si>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</si>
  <si>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</si>
  <si>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</si>
  <si>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</si>
  <si>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</si>
  <si>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</si>
  <si>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</si>
  <si>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</si>
  <si>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</si>
  <si>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</si>
  <si>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</si>
  <si>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</si>
  <si>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</si>
  <si>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</si>
  <si>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</si>
  <si>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</si>
  <si>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</si>
  <si>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</si>
  <si>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</si>
  <si>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</si>
  <si>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</si>
  <si>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</si>
  <si>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</si>
  <si>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</si>
  <si>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</si>
  <si>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</si>
  <si>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</si>
  <si>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</si>
  <si>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</si>
  <si>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</si>
  <si>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</si>
  <si>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</si>
  <si>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</si>
  <si>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</si>
  <si>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</si>
  <si>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</si>
  <si>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</si>
  <si>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</si>
  <si>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</si>
  <si>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</si>
  <si>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</si>
  <si>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</si>
  <si>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</si>
  <si>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</si>
  <si>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</si>
  <si>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</si>
  <si>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</si>
  <si>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</si>
  <si>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</si>
  <si>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</si>
  <si>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</si>
  <si>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</si>
  <si>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</si>
  <si>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</si>
  <si>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</si>
  <si>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</si>
  <si>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</si>
  <si>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</si>
  <si>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</si>
  <si>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</si>
  <si>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</si>
  <si>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</si>
  <si>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</si>
  <si>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</si>
  <si>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</si>
  <si>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</si>
  <si>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</si>
  <si>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</si>
  <si>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</si>
  <si>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</si>
  <si>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</si>
  <si>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</si>
  <si>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</si>
  <si>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</si>
  <si>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</si>
  <si>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</si>
  <si>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</si>
  <si>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</si>
  <si>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</si>
  <si>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</si>
  <si>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</si>
  <si>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</si>
  <si>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</si>
  <si>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</si>
  <si>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</si>
  <si>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</si>
  <si>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</si>
  <si>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</si>
  <si>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</si>
  <si>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</si>
  <si>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</si>
  <si>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</si>
  <si>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</si>
  <si>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</si>
  <si>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</si>
  <si>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</si>
  <si>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</si>
  <si>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</si>
  <si>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</si>
  <si>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</si>
  <si>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</si>
  <si>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</si>
  <si>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</si>
  <si>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</si>
  <si>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</si>
  <si>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</si>
  <si>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</si>
  <si>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</si>
  <si>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</si>
  <si>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</si>
  <si>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</si>
  <si>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</si>
  <si>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</si>
  <si>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</si>
  <si>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</si>
  <si>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</si>
  <si>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</si>
  <si>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</si>
  <si>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</si>
  <si>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</si>
  <si>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</si>
  <si>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</si>
  <si>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</si>
  <si>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</si>
  <si>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</si>
  <si>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</si>
  <si>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</si>
  <si>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</si>
  <si>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</si>
  <si>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</si>
  <si>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</si>
  <si>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</si>
  <si>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</si>
  <si>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</si>
  <si>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</si>
  <si>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</si>
  <si>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</si>
  <si>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</si>
  <si>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</si>
  <si>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</si>
  <si>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</si>
  <si>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</si>
  <si>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</si>
  <si>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</si>
  <si>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</si>
  <si>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</si>
  <si>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</si>
  <si>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</si>
  <si>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</si>
  <si>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</si>
  <si>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</si>
  <si>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</si>
  <si>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</si>
  <si>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</si>
  <si>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</si>
  <si>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</si>
  <si>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</si>
  <si>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</si>
  <si>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</si>
  <si>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</si>
  <si>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</si>
  <si>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</si>
  <si>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</si>
  <si>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</si>
  <si>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</si>
  <si>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</si>
  <si>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</si>
  <si>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</si>
  <si>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</si>
  <si>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</si>
  <si>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</si>
  <si>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</si>
  <si>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</si>
  <si>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</si>
  <si>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</si>
  <si>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</si>
  <si>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</si>
  <si>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</si>
  <si>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</si>
  <si>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</si>
  <si>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</si>
  <si>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</si>
  <si>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</si>
  <si>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</si>
  <si>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</si>
  <si>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</si>
  <si>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</si>
  <si>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</si>
  <si>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</si>
  <si>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</si>
  <si>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</si>
  <si>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</si>
  <si>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</si>
  <si>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</si>
  <si>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</si>
  <si>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</si>
  <si>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</si>
  <si>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</si>
  <si>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</si>
  <si>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</si>
  <si>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</si>
  <si>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</si>
  <si>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</si>
  <si>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</si>
  <si>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</si>
  <si>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</si>
  <si>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</si>
  <si>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</si>
  <si>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</si>
  <si>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</si>
  <si>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</si>
  <si>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</si>
  <si>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</si>
  <si>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</si>
  <si>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</si>
  <si>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</si>
  <si>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</si>
  <si>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</si>
  <si>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</si>
  <si>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</si>
  <si>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</si>
  <si>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</si>
  <si>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</si>
  <si>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</si>
  <si>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</si>
  <si>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</si>
  <si>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</si>
  <si>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</si>
  <si>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</si>
  <si>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</si>
  <si>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</si>
  <si>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</si>
  <si>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</si>
  <si>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</si>
  <si>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</si>
  <si>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</si>
  <si>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</si>
  <si>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</si>
  <si>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</si>
  <si>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</si>
  <si>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</si>
  <si>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</si>
  <si>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</si>
  <si>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</si>
  <si>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</si>
  <si>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</si>
  <si>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</si>
  <si>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</si>
  <si>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</si>
  <si>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</si>
  <si>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</si>
  <si>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</si>
  <si>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</si>
  <si>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</si>
  <si>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</si>
  <si>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</si>
  <si>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</si>
  <si>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</si>
  <si>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</si>
  <si>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</si>
  <si>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</si>
  <si>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</si>
  <si>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</si>
  <si>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</si>
  <si>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</si>
  <si>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</si>
  <si>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</si>
  <si>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</si>
  <si>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</si>
  <si>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</si>
  <si>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</si>
  <si>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</si>
  <si>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</si>
  <si>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</si>
  <si>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</si>
  <si>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</si>
  <si>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</si>
  <si>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</si>
  <si>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</si>
  <si>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</si>
  <si>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</si>
  <si>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</si>
  <si>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</si>
  <si>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</si>
  <si>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</si>
  <si>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</si>
  <si>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</si>
  <si>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</si>
  <si>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</si>
  <si>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</si>
  <si>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</si>
  <si>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</si>
  <si>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</si>
  <si>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</si>
  <si>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</si>
  <si>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</si>
  <si>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</si>
  <si>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</si>
  <si>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</si>
  <si>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</si>
  <si>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</si>
  <si>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</si>
  <si>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</si>
  <si>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</si>
  <si>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</si>
  <si>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</si>
  <si>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</si>
  <si>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</si>
  <si>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</si>
  <si>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</si>
  <si>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</si>
  <si>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</si>
  <si>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</si>
  <si>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</si>
  <si>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</si>
  <si>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</si>
  <si>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</si>
  <si>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</si>
  <si>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</si>
  <si>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</si>
  <si>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</si>
  <si>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</si>
  <si>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</si>
  <si>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</si>
  <si>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</si>
  <si>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</si>
  <si>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</si>
  <si>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</si>
  <si>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</si>
  <si>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</si>
  <si>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</si>
  <si>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</si>
  <si>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</si>
  <si>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</si>
  <si>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</si>
  <si>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</si>
  <si>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</si>
  <si>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</si>
  <si>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</si>
  <si>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</si>
  <si>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</si>
  <si>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</si>
  <si>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</si>
  <si>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</si>
  <si>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</si>
  <si>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</si>
  <si>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</si>
  <si>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</si>
  <si>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</si>
  <si>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</si>
  <si>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</si>
  <si>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</si>
  <si>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</si>
  <si>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</si>
  <si>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</si>
  <si>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</si>
  <si>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</si>
  <si>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</si>
  <si>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</si>
  <si>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</si>
  <si>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</si>
  <si>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</si>
  <si>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</si>
  <si>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</si>
  <si>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</si>
  <si>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</si>
  <si>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</si>
  <si>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</si>
  <si>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</si>
  <si>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</si>
  <si>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</si>
  <si>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</si>
  <si>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</si>
  <si>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</si>
  <si>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</si>
  <si>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</si>
  <si>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</si>
  <si>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</si>
  <si>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</si>
  <si>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</si>
  <si>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</si>
  <si>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</si>
  <si>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</si>
  <si>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</si>
  <si>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</si>
  <si>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</si>
  <si>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</si>
  <si>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</si>
  <si>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</si>
  <si>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</si>
  <si>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</si>
  <si>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</si>
  <si>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</si>
  <si>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</si>
  <si>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</si>
  <si>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</si>
  <si>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</si>
  <si>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</si>
  <si>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</si>
  <si>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</si>
  <si>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</si>
  <si>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</si>
  <si>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</si>
  <si>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</si>
  <si>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</si>
  <si>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</si>
  <si>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</si>
  <si>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</si>
  <si>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</si>
  <si>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</si>
  <si>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</si>
  <si>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</si>
  <si>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</si>
  <si>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</si>
  <si>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</si>
  <si>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</si>
  <si>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</si>
  <si>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</si>
  <si>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</si>
  <si>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</si>
  <si>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</si>
  <si>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</si>
  <si>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</si>
  <si>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</si>
  <si>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</si>
  <si>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</si>
  <si>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</si>
  <si>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</si>
  <si>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</si>
  <si>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</si>
  <si>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</si>
  <si>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</si>
  <si>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</si>
  <si>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</si>
  <si>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</si>
  <si>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</si>
  <si>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</si>
  <si>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</si>
  <si>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</si>
  <si>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</si>
  <si>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</si>
  <si>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</si>
  <si>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</si>
  <si>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</si>
  <si>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</si>
  <si>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</si>
  <si>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</si>
  <si>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</si>
  <si>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</si>
  <si>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</si>
  <si>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</si>
  <si>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</si>
  <si>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</si>
  <si>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</si>
  <si>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</si>
  <si>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</si>
  <si>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</si>
  <si>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</si>
  <si>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</si>
  <si>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</si>
  <si>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</si>
  <si>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</si>
  <si>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</si>
  <si>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</si>
  <si>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</si>
  <si>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</si>
  <si>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</si>
  <si>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</si>
  <si>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</si>
  <si>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</si>
  <si>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</si>
  <si>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</si>
  <si>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</si>
  <si>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</si>
  <si>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</si>
  <si>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</si>
  <si>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</si>
  <si>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</si>
  <si>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</si>
  <si>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</si>
  <si>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</si>
  <si>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</si>
  <si>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</si>
  <si>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</si>
  <si>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</si>
  <si>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</si>
  <si>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</si>
  <si>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</si>
  <si>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</si>
  <si>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</si>
  <si>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</si>
  <si>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</si>
  <si>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</si>
  <si>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</si>
  <si>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</si>
  <si>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</si>
  <si>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</si>
  <si>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</si>
  <si>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</si>
  <si>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</si>
  <si>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</si>
  <si>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</si>
  <si>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</si>
  <si>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</si>
  <si>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</si>
  <si>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</si>
  <si>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</si>
  <si>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</si>
  <si>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</si>
  <si>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</si>
  <si>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</si>
  <si>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</si>
  <si>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</si>
  <si>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</si>
  <si>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</si>
  <si>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</si>
  <si>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</si>
  <si>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</si>
  <si>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</si>
  <si>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</si>
  <si>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</si>
  <si>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</si>
  <si>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</si>
  <si>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</si>
  <si>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</si>
  <si>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</si>
  <si>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</si>
  <si>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</si>
  <si>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</si>
  <si>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</si>
  <si>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</si>
  <si>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</si>
  <si>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</si>
  <si>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</si>
  <si>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</si>
  <si>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</si>
  <si>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</si>
  <si>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</si>
  <si>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</si>
  <si>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</si>
  <si>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</si>
  <si>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</si>
  <si>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</si>
  <si>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</si>
  <si>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</si>
  <si>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</si>
  <si>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</si>
  <si>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</si>
  <si>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</si>
  <si>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</si>
  <si>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</si>
  <si>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</si>
  <si>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</si>
  <si>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</si>
  <si>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</si>
  <si>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</si>
  <si>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</si>
  <si>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</si>
  <si>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</si>
  <si>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</si>
  <si>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</si>
  <si>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</si>
  <si>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</si>
  <si>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</si>
  <si>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</si>
  <si>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</si>
  <si>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</si>
  <si>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</si>
  <si>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</si>
  <si>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</si>
  <si>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</si>
  <si>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</si>
  <si>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</si>
  <si>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</si>
  <si>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</si>
  <si>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</si>
  <si>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</si>
  <si>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</si>
  <si>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</si>
  <si>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</si>
  <si>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</si>
  <si>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</si>
  <si>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</si>
  <si>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</si>
  <si>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</si>
  <si>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</si>
  <si>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</si>
  <si>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</si>
  <si>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</si>
  <si>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</si>
  <si>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</si>
  <si>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</si>
  <si>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</si>
  <si>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</si>
  <si>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</si>
  <si>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</si>
  <si>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</si>
  <si>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</si>
  <si>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</si>
  <si>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</si>
  <si>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</si>
  <si>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</si>
  <si>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</si>
  <si>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</si>
  <si>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</si>
  <si>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</si>
  <si>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</si>
  <si>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</si>
  <si>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</si>
  <si>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</si>
  <si>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</si>
  <si>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</si>
  <si>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</si>
  <si>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</si>
  <si>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</si>
  <si>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</si>
  <si>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</si>
  <si>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</si>
  <si>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</si>
  <si>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</si>
  <si>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</si>
  <si>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</si>
  <si>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</si>
  <si>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</si>
  <si>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</si>
  <si>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</si>
  <si>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</si>
  <si>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</si>
  <si>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</si>
  <si>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</si>
  <si>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</si>
  <si>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</si>
  <si>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</si>
  <si>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</si>
  <si>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</si>
  <si>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</si>
  <si>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</si>
  <si>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</si>
  <si>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</si>
  <si>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</si>
  <si>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</si>
  <si>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</si>
  <si>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</si>
  <si>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</si>
  <si>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</si>
  <si>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</si>
  <si>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</si>
  <si>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</si>
  <si>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</si>
  <si>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</si>
  <si>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</si>
  <si>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</si>
  <si>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</si>
  <si>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</si>
  <si>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</si>
  <si>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</si>
  <si>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</si>
  <si>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</si>
  <si>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</si>
  <si>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</si>
  <si>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</si>
  <si>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</si>
  <si>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</si>
  <si>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</si>
  <si>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</si>
  <si>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</si>
  <si>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</si>
  <si>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</si>
  <si>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</si>
  <si>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</si>
  <si>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</si>
  <si>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</si>
  <si>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</si>
  <si>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</si>
  <si>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</si>
  <si>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</si>
  <si>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</si>
  <si>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</si>
  <si>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</si>
  <si>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</si>
  <si>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</si>
  <si>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</si>
  <si>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</si>
  <si>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</si>
  <si>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</si>
  <si>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</si>
  <si>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</si>
  <si>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</si>
  <si>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</si>
  <si>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</si>
  <si>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</si>
  <si>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</si>
  <si>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</si>
  <si>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</si>
  <si>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</si>
  <si>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</si>
  <si>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</si>
  <si>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</si>
  <si>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</si>
  <si>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</si>
  <si>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</si>
  <si>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</si>
  <si>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</si>
  <si>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</si>
  <si>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</si>
  <si>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</si>
  <si>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</si>
  <si>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</si>
  <si>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</si>
  <si>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</si>
  <si>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</si>
  <si>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</si>
  <si>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</si>
  <si>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</si>
  <si>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</si>
  <si>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</si>
  <si>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</si>
  <si>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</si>
  <si>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</si>
  <si>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</si>
  <si>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</si>
  <si>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</si>
  <si>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</si>
  <si>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</si>
  <si>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</si>
  <si>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</si>
  <si>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</si>
  <si>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</si>
  <si>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</si>
  <si>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</si>
  <si>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</si>
  <si>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</si>
  <si>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</si>
  <si>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</si>
  <si>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</si>
  <si>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</si>
  <si>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</si>
  <si>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</si>
  <si>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</si>
  <si>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</si>
  <si>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</si>
  <si>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</si>
  <si>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</si>
  <si>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</si>
  <si>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</si>
  <si>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</si>
  <si>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</si>
  <si>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</si>
  <si>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</si>
  <si>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</si>
  <si>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</si>
  <si>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</si>
  <si>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</si>
  <si>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</si>
  <si>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</si>
  <si>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</si>
  <si>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</si>
  <si>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</si>
  <si>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</si>
  <si>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</si>
  <si>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</si>
  <si>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</si>
  <si>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</si>
  <si>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</si>
  <si>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</si>
  <si>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</si>
  <si>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</si>
  <si>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</si>
  <si>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</si>
  <si>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</si>
  <si>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</si>
  <si>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</si>
  <si>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</si>
  <si>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</si>
  <si>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</si>
  <si>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</si>
  <si>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</si>
  <si>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</si>
  <si>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</si>
  <si>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</si>
  <si>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</si>
  <si>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</si>
  <si>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</si>
  <si>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</si>
  <si>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</si>
  <si>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</si>
  <si>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</si>
  <si>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</si>
  <si>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</si>
  <si>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</si>
  <si>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Robusta</t>
  </si>
  <si>
    <t>Arabica</t>
  </si>
  <si>
    <t>Liberica</t>
  </si>
  <si>
    <t>Excelsa</t>
  </si>
  <si>
    <t>Coffe type Name</t>
  </si>
  <si>
    <t xml:space="preserve">Roast type name </t>
  </si>
  <si>
    <t>2019</t>
  </si>
  <si>
    <t>2020</t>
  </si>
  <si>
    <t>2021</t>
  </si>
  <si>
    <t>2022</t>
  </si>
  <si>
    <t>Jan</t>
  </si>
  <si>
    <t>Feb</t>
  </si>
  <si>
    <t>Mar</t>
  </si>
  <si>
    <t>Apr</t>
  </si>
  <si>
    <t>May</t>
  </si>
  <si>
    <t>Jun</t>
  </si>
  <si>
    <t>Jul</t>
  </si>
  <si>
    <t>Aug</t>
  </si>
  <si>
    <t>Sep</t>
  </si>
  <si>
    <t>Oct</t>
  </si>
  <si>
    <t>Nov</t>
  </si>
  <si>
    <t>Dec</t>
  </si>
  <si>
    <t>Years (Order Date)</t>
  </si>
  <si>
    <t>Months (Order Date)</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</si>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</sst>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409]#,##0"/>
  </numFmts>
  <fonts count="4" x14ac:knownFonts="1">
    <font>
      <sz val="11"/>
      <color theme="1"/>
      <name val="Calibri"/>
      <family val="2"/>
      <scheme val="minor"/>
    </font>
    <font>
      <sz val="11"/>
      <color indexed="8"/>
      <name val="Calibri"/>
      <family val="2"/>
    </font>
    <font>
      <sz val="11"/>
      <color theme="1"/>
      <name val="Calibri"/>
      <family val="2"/>
      <scheme val="minor"/>
    </font>
    <font>
      <sz val="11"/>
      <color rgb="FF3C1464"/>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3" fontId="0" fillId="0" borderId="0" xfId="0" applyNumberFormat="1"/>
    <xf numFmtId="0" fontId="3" fillId="0" borderId="0" xfId="0" applyFont="1"/>
    <xf numFmtId="168" fontId="0" fillId="0" borderId="0" xfId="0" applyNumberFormat="1"/>
  </cellXfs>
  <cellStyles count="2">
    <cellStyle name="Currency" xfId="1" builtinId="4"/>
    <cellStyle name="Normal" xfId="0" builtinId="0"/>
  </cellStyles>
  <dxfs count="14">
    <dxf>
      <numFmt numFmtId="0" formatCode="General"/>
    </dxf>
    <dxf>
      <font>
        <b val="0"/>
        <i val="0"/>
        <strike val="0"/>
        <condense val="0"/>
        <extend val="0"/>
        <outline val="0"/>
        <shadow val="0"/>
        <u val="none"/>
        <vertAlign val="baseline"/>
        <sz val="11"/>
        <color theme="1"/>
        <name val="Calibri"/>
        <family val="2"/>
        <scheme val="minor"/>
      </font>
      <numFmt numFmtId="167" formatCode="_([$$-409]* #,##0.00_);_([$$-409]* \(#,##0.00\);_([$$-409]* &quot;-&quot;??_);_(@_)"/>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border>
        <vertical/>
        <horizontal/>
      </border>
    </dxf>
    <dxf>
      <font>
        <b val="0"/>
        <i val="0"/>
        <u val="none"/>
        <color auto="1"/>
      </font>
      <fill>
        <patternFill>
          <bgColor rgb="FF3C1464"/>
        </patternFill>
      </fill>
      <border>
        <left style="thin">
          <color rgb="FF3C1464"/>
        </left>
        <right style="thin">
          <color rgb="FF3C1464"/>
        </right>
        <top style="thin">
          <color rgb="FF3C1464"/>
        </top>
        <bottom style="thin">
          <color rgb="FF3C1464"/>
        </bottom>
        <vertical/>
        <horizontal/>
      </border>
    </dxf>
  </dxfs>
  <tableStyles count="1" defaultTableStyle="TableStyleMedium2" defaultPivotStyle="PivotStyleMedium9">
    <tableStyle name="Purple Timeline Style" pivot="0" table="0" count="9" xr9:uid="{859957B3-DCCE-5542-8574-2C295A12CE2C}">
      <tableStyleElement type="wholeTable" dxfId="13"/>
      <tableStyleElement type="headerRow" dxfId="12"/>
    </tableStyle>
  </tableStyles>
  <colors>
    <mruColors>
      <color rgb="FF3C1464"/>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GB" sz="2000" b="1">
                <a:solidFill>
                  <a:srgbClr val="3C1464"/>
                </a:solidFill>
              </a:rPr>
              <a:t>Total</a:t>
            </a:r>
            <a:r>
              <a:rPr lang="en-GB" sz="2000" b="1" baseline="0">
                <a:solidFill>
                  <a:srgbClr val="3C1464"/>
                </a:solidFill>
              </a:rPr>
              <a:t> Sales Over Time</a:t>
            </a:r>
            <a:endParaRPr lang="en-GB" sz="2000" b="1">
              <a:solidFill>
                <a:srgbClr val="3C1464"/>
              </a:solidFill>
            </a:endParaRPr>
          </a:p>
        </c:rich>
      </c:tx>
      <c:layout>
        <c:manualLayout>
          <c:xMode val="edge"/>
          <c:yMode val="edge"/>
          <c:x val="0.41179829890643987"/>
          <c:y val="1.143946615824594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6">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258-EC4E-AA7E-8EC898ED9767}"/>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258-EC4E-AA7E-8EC898ED9767}"/>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258-EC4E-AA7E-8EC898ED9767}"/>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F258-EC4E-AA7E-8EC898ED9767}"/>
            </c:ext>
          </c:extLst>
        </c:ser>
        <c:dLbls>
          <c:showLegendKey val="0"/>
          <c:showVal val="0"/>
          <c:showCatName val="0"/>
          <c:showSerName val="0"/>
          <c:showPercent val="0"/>
          <c:showBubbleSize val="0"/>
        </c:dLbls>
        <c:smooth val="0"/>
        <c:axId val="820408128"/>
        <c:axId val="743322752"/>
      </c:lineChart>
      <c:catAx>
        <c:axId val="82040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rgbClr val="3C1464"/>
                </a:solidFill>
                <a:latin typeface="+mn-lt"/>
                <a:ea typeface="+mn-ea"/>
                <a:cs typeface="+mn-cs"/>
              </a:defRPr>
            </a:pPr>
            <a:endParaRPr lang="en-US"/>
          </a:p>
        </c:txPr>
        <c:crossAx val="743322752"/>
        <c:crosses val="autoZero"/>
        <c:auto val="1"/>
        <c:lblAlgn val="ctr"/>
        <c:lblOffset val="100"/>
        <c:noMultiLvlLbl val="0"/>
      </c:catAx>
      <c:valAx>
        <c:axId val="743322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3C1464"/>
                    </a:solidFill>
                    <a:latin typeface="+mn-lt"/>
                    <a:ea typeface="+mn-ea"/>
                    <a:cs typeface="+mn-cs"/>
                  </a:defRPr>
                </a:pPr>
                <a:r>
                  <a:rPr lang="en-GB" sz="1200" b="1">
                    <a:solidFill>
                      <a:srgbClr val="3C1464"/>
                    </a:solidFill>
                  </a:rPr>
                  <a:t>USD </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0408128"/>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lumMod val="95000"/>
              </a:schemeClr>
            </a:solidFill>
          </a:ln>
          <a:effectLst/>
        </c:spPr>
      </c:pivotFmt>
      <c:pivotFmt>
        <c:idx val="2"/>
        <c:spPr>
          <a:solidFill>
            <a:schemeClr val="accent6">
              <a:lumMod val="60000"/>
              <a:lumOff val="40000"/>
            </a:schemeClr>
          </a:solidFill>
          <a:ln w="25400">
            <a:solidFill>
              <a:schemeClr val="bg1">
                <a:lumMod val="95000"/>
              </a:schemeClr>
            </a:solidFill>
          </a:ln>
          <a:effectLst/>
        </c:spPr>
      </c:pivotFmt>
      <c:pivotFmt>
        <c:idx val="3"/>
        <c:spPr>
          <a:solidFill>
            <a:schemeClr val="accent6">
              <a:lumMod val="20000"/>
              <a:lumOff val="80000"/>
            </a:schemeClr>
          </a:solidFill>
          <a:ln w="25400">
            <a:solidFill>
              <a:schemeClr val="bg1">
                <a:lumMod val="95000"/>
              </a:schemeClr>
            </a:solidFill>
          </a:ln>
          <a:effectLst/>
        </c:spPr>
      </c:pivotFmt>
      <c:pivotFmt>
        <c:idx val="4"/>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5400">
            <a:solidFill>
              <a:schemeClr val="bg1">
                <a:lumMod val="95000"/>
              </a:schemeClr>
            </a:solidFill>
          </a:ln>
          <a:effectLst/>
        </c:spPr>
      </c:pivotFmt>
      <c:pivotFmt>
        <c:idx val="6"/>
        <c:spPr>
          <a:solidFill>
            <a:schemeClr val="accent6">
              <a:lumMod val="60000"/>
              <a:lumOff val="40000"/>
            </a:schemeClr>
          </a:solidFill>
          <a:ln w="25400">
            <a:solidFill>
              <a:schemeClr val="bg1">
                <a:lumMod val="95000"/>
              </a:schemeClr>
            </a:solidFill>
          </a:ln>
          <a:effectLst/>
        </c:spPr>
      </c:pivotFmt>
      <c:pivotFmt>
        <c:idx val="7"/>
        <c:spPr>
          <a:solidFill>
            <a:schemeClr val="accent6">
              <a:lumMod val="50000"/>
            </a:schemeClr>
          </a:solidFill>
          <a:ln w="25400">
            <a:solidFill>
              <a:schemeClr val="bg1">
                <a:lumMod val="95000"/>
              </a:schemeClr>
            </a:solidFill>
          </a:ln>
          <a:effectLst/>
        </c:spPr>
      </c:pivotFmt>
      <c:pivotFmt>
        <c:idx val="8"/>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25400">
            <a:solidFill>
              <a:schemeClr val="bg1">
                <a:lumMod val="95000"/>
              </a:schemeClr>
            </a:solidFill>
          </a:ln>
          <a:effectLst/>
        </c:spPr>
      </c:pivotFmt>
      <c:pivotFmt>
        <c:idx val="10"/>
        <c:spPr>
          <a:solidFill>
            <a:schemeClr val="accent6">
              <a:lumMod val="60000"/>
              <a:lumOff val="40000"/>
            </a:schemeClr>
          </a:solidFill>
          <a:ln w="25400">
            <a:solidFill>
              <a:schemeClr val="bg1">
                <a:lumMod val="95000"/>
              </a:schemeClr>
            </a:solidFill>
          </a:ln>
          <a:effectLst/>
        </c:spPr>
      </c:pivotFmt>
      <c:pivotFmt>
        <c:idx val="11"/>
        <c:spPr>
          <a:solidFill>
            <a:schemeClr val="accent6">
              <a:lumMod val="50000"/>
            </a:schemeClr>
          </a:solidFill>
          <a:ln w="25400">
            <a:solidFill>
              <a:schemeClr val="bg1">
                <a:lumMod val="95000"/>
              </a:schemeClr>
            </a:solidFill>
          </a:ln>
          <a:effectLst/>
        </c:spPr>
      </c:pivotFmt>
    </c:pivotFmts>
    <c:plotArea>
      <c:layout>
        <c:manualLayout>
          <c:layoutTarget val="inner"/>
          <c:xMode val="edge"/>
          <c:yMode val="edge"/>
          <c:x val="0.10654596952359373"/>
          <c:y val="5.907465825446899E-2"/>
          <c:w val="0.79931127853622619"/>
          <c:h val="0.8732107934457719"/>
        </c:manualLayout>
      </c:layout>
      <c:barChart>
        <c:barDir val="bar"/>
        <c:grouping val="clustered"/>
        <c:varyColors val="0"/>
        <c:ser>
          <c:idx val="0"/>
          <c:order val="0"/>
          <c:tx>
            <c:strRef>
              <c:f>CountryBarChart!$B$3</c:f>
              <c:strCache>
                <c:ptCount val="1"/>
                <c:pt idx="0">
                  <c:v>Total</c:v>
                </c:pt>
              </c:strCache>
            </c:strRef>
          </c:tx>
          <c:spPr>
            <a:solidFill>
              <a:schemeClr val="accent6"/>
            </a:solidFill>
            <a:ln w="25400">
              <a:solidFill>
                <a:schemeClr val="bg1">
                  <a:lumMod val="95000"/>
                </a:schemeClr>
              </a:solidFill>
            </a:ln>
            <a:effectLst/>
          </c:spPr>
          <c:invertIfNegative val="0"/>
          <c:dPt>
            <c:idx val="0"/>
            <c:invertIfNegative val="0"/>
            <c:bubble3D val="0"/>
            <c:spPr>
              <a:solidFill>
                <a:schemeClr val="accent6">
                  <a:lumMod val="20000"/>
                  <a:lumOff val="80000"/>
                </a:schemeClr>
              </a:solidFill>
              <a:ln w="25400">
                <a:solidFill>
                  <a:schemeClr val="bg1">
                    <a:lumMod val="95000"/>
                  </a:schemeClr>
                </a:solidFill>
              </a:ln>
              <a:effectLst/>
            </c:spPr>
            <c:extLst>
              <c:ext xmlns:c16="http://schemas.microsoft.com/office/drawing/2014/chart" uri="{C3380CC4-5D6E-409C-BE32-E72D297353CC}">
                <c16:uniqueId val="{00000001-FC21-CD49-97B0-BC998A3DD977}"/>
              </c:ext>
            </c:extLst>
          </c:dPt>
          <c:dPt>
            <c:idx val="1"/>
            <c:invertIfNegative val="0"/>
            <c:bubble3D val="0"/>
            <c:spPr>
              <a:solidFill>
                <a:schemeClr val="accent6">
                  <a:lumMod val="60000"/>
                  <a:lumOff val="40000"/>
                </a:schemeClr>
              </a:solidFill>
              <a:ln w="25400">
                <a:solidFill>
                  <a:schemeClr val="bg1">
                    <a:lumMod val="95000"/>
                  </a:schemeClr>
                </a:solidFill>
              </a:ln>
              <a:effectLst/>
            </c:spPr>
            <c:extLst>
              <c:ext xmlns:c16="http://schemas.microsoft.com/office/drawing/2014/chart" uri="{C3380CC4-5D6E-409C-BE32-E72D297353CC}">
                <c16:uniqueId val="{00000003-FC21-CD49-97B0-BC998A3DD977}"/>
              </c:ext>
            </c:extLst>
          </c:dPt>
          <c:dPt>
            <c:idx val="2"/>
            <c:invertIfNegative val="0"/>
            <c:bubble3D val="0"/>
            <c:spPr>
              <a:solidFill>
                <a:schemeClr val="accent6">
                  <a:lumMod val="50000"/>
                </a:schemeClr>
              </a:solidFill>
              <a:ln w="25400">
                <a:solidFill>
                  <a:schemeClr val="bg1">
                    <a:lumMod val="95000"/>
                  </a:schemeClr>
                </a:solidFill>
              </a:ln>
              <a:effectLst/>
            </c:spPr>
            <c:extLst>
              <c:ext xmlns:c16="http://schemas.microsoft.com/office/drawing/2014/chart" uri="{C3380CC4-5D6E-409C-BE32-E72D297353CC}">
                <c16:uniqueId val="{00000005-FC21-CD49-97B0-BC998A3DD97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C21-CD49-97B0-BC998A3DD977}"/>
            </c:ext>
          </c:extLst>
        </c:ser>
        <c:dLbls>
          <c:dLblPos val="outEnd"/>
          <c:showLegendKey val="0"/>
          <c:showVal val="1"/>
          <c:showCatName val="0"/>
          <c:showSerName val="0"/>
          <c:showPercent val="0"/>
          <c:showBubbleSize val="0"/>
        </c:dLbls>
        <c:gapWidth val="182"/>
        <c:axId val="1438464448"/>
        <c:axId val="1438452352"/>
      </c:barChart>
      <c:catAx>
        <c:axId val="143846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38452352"/>
        <c:crosses val="autoZero"/>
        <c:auto val="1"/>
        <c:lblAlgn val="ctr"/>
        <c:lblOffset val="100"/>
        <c:noMultiLvlLbl val="0"/>
      </c:catAx>
      <c:valAx>
        <c:axId val="1438452352"/>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3846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[coffeeOrdersData.xlsx]Top5Coustomers!TotalSales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lumMod val="95000"/>
              </a:schemeClr>
            </a:solidFill>
          </a:ln>
          <a:effectLst/>
        </c:spPr>
      </c:pivotFmt>
      <c:pivotFmt>
        <c:idx val="2"/>
        <c:spPr>
          <a:solidFill>
            <a:schemeClr val="accent6">
              <a:lumMod val="60000"/>
              <a:lumOff val="40000"/>
            </a:schemeClr>
          </a:solidFill>
          <a:ln w="25400">
            <a:solidFill>
              <a:schemeClr val="bg1">
                <a:lumMod val="95000"/>
              </a:schemeClr>
            </a:solidFill>
          </a:ln>
          <a:effectLst/>
        </c:spPr>
      </c:pivotFmt>
      <c:pivotFmt>
        <c:idx val="3"/>
        <c:spPr>
          <a:solidFill>
            <a:schemeClr val="accent6">
              <a:lumMod val="20000"/>
              <a:lumOff val="80000"/>
            </a:schemeClr>
          </a:solidFill>
          <a:ln w="25400">
            <a:solidFill>
              <a:schemeClr val="bg1">
                <a:lumMod val="95000"/>
              </a:schemeClr>
            </a:solidFill>
          </a:ln>
          <a:effectLst/>
        </c:spPr>
      </c:pivotFmt>
      <c:pivotFmt>
        <c:idx val="4"/>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5400">
            <a:solidFill>
              <a:schemeClr val="bg1">
                <a:lumMod val="95000"/>
              </a:schemeClr>
            </a:solidFill>
          </a:ln>
          <a:effectLst/>
        </c:spPr>
      </c:pivotFmt>
      <c:pivotFmt>
        <c:idx val="6"/>
        <c:spPr>
          <a:solidFill>
            <a:schemeClr val="accent6">
              <a:lumMod val="60000"/>
              <a:lumOff val="40000"/>
            </a:schemeClr>
          </a:solidFill>
          <a:ln w="25400">
            <a:solidFill>
              <a:schemeClr val="bg1">
                <a:lumMod val="95000"/>
              </a:schemeClr>
            </a:solidFill>
          </a:ln>
          <a:effectLst/>
        </c:spPr>
      </c:pivotFmt>
      <c:pivotFmt>
        <c:idx val="7"/>
        <c:spPr>
          <a:solidFill>
            <a:schemeClr val="accent6">
              <a:lumMod val="50000"/>
            </a:schemeClr>
          </a:solidFill>
          <a:ln w="25400">
            <a:solidFill>
              <a:schemeClr val="bg1">
                <a:lumMod val="95000"/>
              </a:schemeClr>
            </a:solidFill>
          </a:ln>
          <a:effectLst/>
        </c:spPr>
      </c:pivotFmt>
      <c:pivotFmt>
        <c:idx val="8"/>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25400">
            <a:solidFill>
              <a:schemeClr val="bg1">
                <a:lumMod val="95000"/>
              </a:schemeClr>
            </a:solidFill>
          </a:ln>
          <a:effectLst/>
        </c:spPr>
      </c:pivotFmt>
      <c:pivotFmt>
        <c:idx val="10"/>
        <c:spPr>
          <a:solidFill>
            <a:schemeClr val="accent6">
              <a:lumMod val="60000"/>
              <a:lumOff val="40000"/>
            </a:schemeClr>
          </a:solidFill>
          <a:ln w="25400">
            <a:solidFill>
              <a:schemeClr val="bg1">
                <a:lumMod val="95000"/>
              </a:schemeClr>
            </a:solidFill>
          </a:ln>
          <a:effectLst/>
        </c:spPr>
      </c:pivotFmt>
      <c:pivotFmt>
        <c:idx val="11"/>
        <c:spPr>
          <a:solidFill>
            <a:schemeClr val="accent6">
              <a:lumMod val="50000"/>
            </a:schemeClr>
          </a:solidFill>
          <a:ln w="25400">
            <a:solidFill>
              <a:schemeClr val="bg1">
                <a:lumMod val="95000"/>
              </a:schemeClr>
            </a:solidFill>
          </a:ln>
          <a:effectLst/>
        </c:spPr>
      </c:pivotFmt>
      <c:pivotFmt>
        <c:idx val="12"/>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4596952359373"/>
          <c:y val="5.907465825446899E-2"/>
          <c:w val="0.79931127853622619"/>
          <c:h val="0.8732107934457719"/>
        </c:manualLayout>
      </c:layout>
      <c:barChart>
        <c:barDir val="bar"/>
        <c:grouping val="clustered"/>
        <c:varyColors val="0"/>
        <c:ser>
          <c:idx val="0"/>
          <c:order val="0"/>
          <c:tx>
            <c:strRef>
              <c:f>Top5Coustomers!$B$3</c:f>
              <c:strCache>
                <c:ptCount val="1"/>
                <c:pt idx="0">
                  <c:v>Total</c:v>
                </c:pt>
              </c:strCache>
            </c:strRef>
          </c:tx>
          <c:spPr>
            <a:solidFill>
              <a:schemeClr val="accent6"/>
            </a:solidFill>
            <a:ln w="25400">
              <a:solidFill>
                <a:schemeClr val="bg1">
                  <a:lumMod val="9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Top5Coustomers!$A$4:$A$8</c:f>
              <c:strCache>
                <c:ptCount val="5"/>
                <c:pt idx="0">
                  <c:v>Don Flintiff</c:v>
                </c:pt>
                <c:pt idx="1">
                  <c:v>Nealson Cuttler</c:v>
                </c:pt>
                <c:pt idx="2">
                  <c:v>Terri Farra</c:v>
                </c:pt>
                <c:pt idx="3">
                  <c:v>Brenn Dundredge</c:v>
                </c:pt>
                <c:pt idx="4">
                  <c:v>Allis Wilmore</c:v>
                </c:pt>
              </c:strCache>
            </c:strRef>
          </c:cat>
          <c:val>
            <c:numRef>
              <c:f>Top5Coustomers!$B$4:$B$8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3F5-6B4C-9BEE-AD75018869F3}"/>
            </c:ext>
          </c:extLst>
        </c:ser>
        <c:dLbls>
          <c:dLblPos val="outEnd"/>
          <c:showLegendKey val="0"/>
          <c:showVal val="1"/>
          <c:showCatName val="0"/>
          <c:showSerName val="0"/>
          <c:showPercent val="0"/>
          <c:showBubbleSize val="0"/>
        </c:dLbls>
        <c:gapWidth val="182"/>
        <c:axId val="1438464448"/>
        <c:axId val="1438452352"/>
      </c:barChart>
      <c:catAx>
        <c:axId val="143846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38452352"/>
        <c:crosses val="autoZero"/>
        <c:auto val="1"/>
        <c:lblAlgn val="ctr"/>
        <c:lblOffset val="100"/>
        <c:noMultiLvlLbl val="0"/>
      </c:catAx>
      <c:valAx>
        <c:axId val="1438452352"/>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3846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4</xdr:row>
      <xdr:rowOff>152400</xdr:rowOff>
    </xdr:to>
    <xdr:sp macro="" textlink="">
      <xdr:nvSpPr>
        <xdr:cNvPr id="4" name="Rectangle 3">
          <a:extLst>
            <a:ext uri="{FF2B5EF4-FFF2-40B4-BE49-F238E27FC236}">
              <a16:creationId xmlns:a16="http://schemas.microsoft.com/office/drawing/2014/main" id="{22779A33-D616-993A-0F60-0A2C372D3247}"/>
            </a:ext>
          </a:extLst>
        </xdr:cNvPr>
        <xdr:cNvSpPr/>
      </xdr:nvSpPr>
      <xdr:spPr>
        <a:xfrm>
          <a:off x="132907" y="59070"/>
          <a:ext cx="20674419" cy="72833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a:solidFill>
                <a:schemeClr val="bg1"/>
              </a:solidFill>
            </a:rPr>
            <a:t>Coffe</a:t>
          </a:r>
          <a:r>
            <a:rPr lang="en-GB" sz="4000" baseline="0">
              <a:solidFill>
                <a:schemeClr val="bg1"/>
              </a:solidFill>
            </a:rPr>
            <a:t> sales DASHBOARD</a:t>
          </a:r>
          <a:endParaRPr lang="en-GB" sz="4000">
            <a:solidFill>
              <a:schemeClr val="bg1"/>
            </a:solidFill>
          </a:endParaRPr>
        </a:p>
      </xdr:txBody>
    </xdr:sp>
    <xdr:clientData/>
  </xdr:twoCellAnchor>
  <xdr:twoCellAnchor>
    <xdr:from>
      <xdr:col>1</xdr:col>
      <xdr:colOff>1</xdr:colOff>
      <xdr:row>14</xdr:row>
      <xdr:rowOff>0</xdr:rowOff>
    </xdr:from>
    <xdr:to>
      <xdr:col>17</xdr:col>
      <xdr:colOff>1</xdr:colOff>
      <xdr:row>54</xdr:row>
      <xdr:rowOff>0</xdr:rowOff>
    </xdr:to>
    <xdr:graphicFrame macro="">
      <xdr:nvGraphicFramePr>
        <xdr:cNvPr id="6" name="Chart 5">
          <a:extLst>
            <a:ext uri="{FF2B5EF4-FFF2-40B4-BE49-F238E27FC236}">
              <a16:creationId xmlns:a16="http://schemas.microsoft.com/office/drawing/2014/main" id="{0CBB2388-E0D1-D441-8435-62B47B3DC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720299</xdr:colOff>
      <xdr:row>9</xdr:row>
      <xdr:rowOff>25470</xdr:rowOff>
    </xdr:from>
    <xdr:to>
      <xdr:col>22</xdr:col>
      <xdr:colOff>0</xdr:colOff>
      <xdr:row>14</xdr:row>
      <xdr:rowOff>103373</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6103292E-D0AB-AF4E-9835-B89F1CC0035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911811" y="1620354"/>
              <a:ext cx="2587608" cy="10377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23506</xdr:colOff>
      <xdr:row>9</xdr:row>
      <xdr:rowOff>23126</xdr:rowOff>
    </xdr:from>
    <xdr:to>
      <xdr:col>26</xdr:col>
      <xdr:colOff>0</xdr:colOff>
      <xdr:row>15</xdr:row>
      <xdr:rowOff>56866</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B3A30102-28C9-E34B-812D-CF9CE221C23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7522925" y="1618010"/>
              <a:ext cx="3284401" cy="1185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xdr:colOff>
      <xdr:row>4</xdr:row>
      <xdr:rowOff>170598</xdr:rowOff>
    </xdr:from>
    <xdr:to>
      <xdr:col>18</xdr:col>
      <xdr:colOff>701344</xdr:colOff>
      <xdr:row>14</xdr:row>
      <xdr:rowOff>65775</xdr:rowOff>
    </xdr:to>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8CD23F7C-B86A-D259-21EE-BF7AEA51E48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2908" y="805598"/>
              <a:ext cx="14759948" cy="181494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17</xdr:col>
      <xdr:colOff>0</xdr:colOff>
      <xdr:row>14</xdr:row>
      <xdr:rowOff>94775</xdr:rowOff>
    </xdr:from>
    <xdr:to>
      <xdr:col>26</xdr:col>
      <xdr:colOff>0</xdr:colOff>
      <xdr:row>31</xdr:row>
      <xdr:rowOff>75820</xdr:rowOff>
    </xdr:to>
    <xdr:graphicFrame macro="">
      <xdr:nvGraphicFramePr>
        <xdr:cNvPr id="11" name="Chart 10">
          <a:extLst>
            <a:ext uri="{FF2B5EF4-FFF2-40B4-BE49-F238E27FC236}">
              <a16:creationId xmlns:a16="http://schemas.microsoft.com/office/drawing/2014/main" id="{C190911F-0202-B643-A19B-43C6AE5F0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31</xdr:row>
      <xdr:rowOff>75819</xdr:rowOff>
    </xdr:from>
    <xdr:to>
      <xdr:col>26</xdr:col>
      <xdr:colOff>0</xdr:colOff>
      <xdr:row>54</xdr:row>
      <xdr:rowOff>0</xdr:rowOff>
    </xdr:to>
    <xdr:graphicFrame macro="">
      <xdr:nvGraphicFramePr>
        <xdr:cNvPr id="12" name="Chart 11">
          <a:extLst>
            <a:ext uri="{FF2B5EF4-FFF2-40B4-BE49-F238E27FC236}">
              <a16:creationId xmlns:a16="http://schemas.microsoft.com/office/drawing/2014/main" id="{2900D576-6C25-774D-A3CB-70F24224D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701343</xdr:colOff>
      <xdr:row>4</xdr:row>
      <xdr:rowOff>175487</xdr:rowOff>
    </xdr:from>
    <xdr:to>
      <xdr:col>26</xdr:col>
      <xdr:colOff>0</xdr:colOff>
      <xdr:row>9</xdr:row>
      <xdr:rowOff>0</xdr:rowOff>
    </xdr:to>
    <mc:AlternateContent xmlns:mc="http://schemas.openxmlformats.org/markup-compatibility/2006" xmlns:a14="http://schemas.microsoft.com/office/drawing/2010/main">
      <mc:Choice Requires="a14">
        <xdr:graphicFrame macro="">
          <xdr:nvGraphicFramePr>
            <xdr:cNvPr id="14" name="Roast Type 2">
              <a:extLst>
                <a:ext uri="{FF2B5EF4-FFF2-40B4-BE49-F238E27FC236}">
                  <a16:creationId xmlns:a16="http://schemas.microsoft.com/office/drawing/2014/main" id="{C2CD77CD-68F6-C922-DA46-D3F522C158C3}"/>
                </a:ext>
              </a:extLst>
            </xdr:cNvPr>
            <xdr:cNvGraphicFramePr/>
          </xdr:nvGraphicFramePr>
          <xdr:xfrm>
            <a:off x="0" y="0"/>
            <a:ext cx="0" cy="0"/>
          </xdr:xfrm>
          <a:graphic>
            <a:graphicData uri="http://schemas.microsoft.com/office/drawing/2010/slicer">
              <sle:slicer xmlns:sle="http://schemas.microsoft.com/office/drawing/2010/slicer" name="Roast Type 2"/>
            </a:graphicData>
          </a:graphic>
        </xdr:graphicFrame>
      </mc:Choice>
      <mc:Fallback xmlns="">
        <xdr:sp macro="" textlink="">
          <xdr:nvSpPr>
            <xdr:cNvPr id="0" name=""/>
            <xdr:cNvSpPr>
              <a:spLocks noTextEdit="1"/>
            </xdr:cNvSpPr>
          </xdr:nvSpPr>
          <xdr:spPr>
            <a:xfrm>
              <a:off x="14892855" y="810487"/>
              <a:ext cx="5914471" cy="7843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Reddy" refreshedDate="46159.586881365743" createdVersion="8" refreshedVersion="8" minRefreshableVersion="3" recordCount="1000" xr:uid="{153DBBC8-9272-B54A-8528-3DAA5C1FA89C}">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 numFmtId="0">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19"/>
          <s v="Jan"/>
          <s v="Feb"/>
          <s v="Mar"/>
          <s v="Apr"/>
          <s v="May"/>
          <s v="Jun"/>
          <s v="Jul"/>
          <s v="Aug"/>
          <s v="Sep"/>
          <s v="Oct"/>
          <s v="Nov"/>
          <s v="Dec"/>
          <s v="&gt;20/08/22"/>
        </groupItems>
      </fieldGroup>
    </cacheField>
    <cacheField name="Years (Order Date)"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2123123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s v="Medium"/>
    <x v="0"/>
  </r>
  <r>
    <s v="QEV-37451-860"/>
    <x v="0"/>
    <s v="17670-51384-MA"/>
    <s v="E-M-0.5"/>
    <n v="5"/>
    <x v="0"/>
    <s v="aallner0@lulu.com"/>
    <x v="0"/>
    <x v="1"/>
    <x v="0"/>
    <x v="1"/>
    <n v="8.25"/>
    <n v="41.25"/>
    <x v="1"/>
    <s v="Medium"/>
    <x v="0"/>
  </r>
  <r>
    <s v="FAA-43335-268"/>
    <x v="1"/>
    <s v="21125-22134-PX"/>
    <s v="A-L-1"/>
    <n v="1"/>
    <x v="1"/>
    <s v="jredholes2@tmall.com"/>
    <x v="0"/>
    <x v="2"/>
    <x v="1"/>
    <x v="0"/>
    <n v="12.95"/>
    <n v="12.95"/>
    <x v="2"/>
    <s v="Light"/>
    <x v="0"/>
  </r>
  <r>
    <s v="KAC-83089-793"/>
    <x v="2"/>
    <s v="23806-46781-OU"/>
    <s v="E-M-1"/>
    <n v="2"/>
    <x v="2"/>
    <s v=""/>
    <x v="1"/>
    <x v="1"/>
    <x v="0"/>
    <x v="0"/>
    <n v="13.75"/>
    <n v="27.5"/>
    <x v="1"/>
    <s v="Medium"/>
    <x v="1"/>
  </r>
  <r>
    <s v="KAC-83089-793"/>
    <x v="2"/>
    <s v="23806-46781-OU"/>
    <s v="R-L-2.5"/>
    <n v="2"/>
    <x v="2"/>
    <s v=""/>
    <x v="1"/>
    <x v="0"/>
    <x v="1"/>
    <x v="2"/>
    <n v="27.484999999999996"/>
    <n v="54.969999999999992"/>
    <x v="0"/>
    <s v="Light"/>
    <x v="1"/>
  </r>
  <r>
    <s v="CVP-18956-553"/>
    <x v="3"/>
    <s v="86561-91660-RB"/>
    <s v="L-D-1"/>
    <n v="3"/>
    <x v="3"/>
    <s v=""/>
    <x v="0"/>
    <x v="3"/>
    <x v="2"/>
    <x v="0"/>
    <n v="12.95"/>
    <n v="38.849999999999994"/>
    <x v="3"/>
    <s v="Dark"/>
    <x v="1"/>
  </r>
  <r>
    <s v="IPP-31994-879"/>
    <x v="4"/>
    <s v="65223-29612-CB"/>
    <s v="E-D-0.5"/>
    <n v="3"/>
    <x v="4"/>
    <s v="slobe6@nifty.com"/>
    <x v="0"/>
    <x v="1"/>
    <x v="2"/>
    <x v="1"/>
    <n v="7.29"/>
    <n v="21.87"/>
    <x v="1"/>
    <s v="Dark"/>
    <x v="0"/>
  </r>
  <r>
    <s v="SNZ-65340-705"/>
    <x v="5"/>
    <s v="21134-81676-FR"/>
    <s v="L-L-0.2"/>
    <n v="1"/>
    <x v="5"/>
    <s v=""/>
    <x v="1"/>
    <x v="3"/>
    <x v="1"/>
    <x v="3"/>
    <n v="4.7549999999999999"/>
    <n v="4.7549999999999999"/>
    <x v="3"/>
    <s v="Light"/>
    <x v="0"/>
  </r>
  <r>
    <s v="EZT-46571-659"/>
    <x v="6"/>
    <s v="03396-68805-ZC"/>
    <s v="R-M-0.5"/>
    <n v="3"/>
    <x v="6"/>
    <s v="gpetracci8@livejournal.com"/>
    <x v="0"/>
    <x v="0"/>
    <x v="0"/>
    <x v="1"/>
    <n v="5.97"/>
    <n v="17.91"/>
    <x v="0"/>
    <s v="Medium"/>
    <x v="1"/>
  </r>
  <r>
    <s v="NWQ-70061-912"/>
    <x v="0"/>
    <s v="61021-27840-ZN"/>
    <s v="R-M-0.5"/>
    <n v="1"/>
    <x v="7"/>
    <s v="rraven9@ed.gov"/>
    <x v="0"/>
    <x v="0"/>
    <x v="0"/>
    <x v="1"/>
    <n v="5.97"/>
    <n v="5.97"/>
    <x v="0"/>
    <s v="Medium"/>
    <x v="1"/>
  </r>
  <r>
    <s v="BKK-47233-845"/>
    <x v="7"/>
    <s v="76239-90137-UQ"/>
    <s v="A-D-1"/>
    <n v="4"/>
    <x v="8"/>
    <s v="fferbera@businesswire.com"/>
    <x v="0"/>
    <x v="2"/>
    <x v="2"/>
    <x v="0"/>
    <n v="9.9499999999999993"/>
    <n v="39.799999999999997"/>
    <x v="2"/>
    <s v="Dark"/>
    <x v="1"/>
  </r>
  <r>
    <s v="VQR-01002-970"/>
    <x v="8"/>
    <s v="49315-21985-BB"/>
    <s v="E-L-2.5"/>
    <n v="5"/>
    <x v="9"/>
    <s v="dphizackerlyb@utexas.edu"/>
    <x v="0"/>
    <x v="1"/>
    <x v="1"/>
    <x v="2"/>
    <n v="34.154999999999994"/>
    <n v="170.77499999999998"/>
    <x v="1"/>
    <s v="Light"/>
    <x v="0"/>
  </r>
  <r>
    <s v="SZW-48378-399"/>
    <x v="9"/>
    <s v="34136-36674-OM"/>
    <s v="R-M-1"/>
    <n v="5"/>
    <x v="10"/>
    <s v="rscholarc@nyu.edu"/>
    <x v="0"/>
    <x v="0"/>
    <x v="0"/>
    <x v="0"/>
    <n v="9.9499999999999993"/>
    <n v="49.75"/>
    <x v="0"/>
    <s v="Medium"/>
    <x v="1"/>
  </r>
  <r>
    <s v="ITA-87418-783"/>
    <x v="10"/>
    <s v="39396-12890-PE"/>
    <s v="R-D-2.5"/>
    <n v="2"/>
    <x v="11"/>
    <s v="tvanyutind@wix.com"/>
    <x v="0"/>
    <x v="0"/>
    <x v="2"/>
    <x v="2"/>
    <n v="20.584999999999997"/>
    <n v="41.169999999999995"/>
    <x v="0"/>
    <s v="Dark"/>
    <x v="1"/>
  </r>
  <r>
    <s v="GNZ-46006-527"/>
    <x v="11"/>
    <s v="95875-73336-RG"/>
    <s v="L-D-0.2"/>
    <n v="3"/>
    <x v="12"/>
    <s v="ptrobee@wunderground.com"/>
    <x v="0"/>
    <x v="3"/>
    <x v="2"/>
    <x v="3"/>
    <n v="3.8849999999999998"/>
    <n v="11.654999999999999"/>
    <x v="3"/>
    <s v="Dark"/>
    <x v="0"/>
  </r>
  <r>
    <s v="FYQ-78248-319"/>
    <x v="12"/>
    <s v="25473-43727-BY"/>
    <s v="R-M-2.5"/>
    <n v="5"/>
    <x v="13"/>
    <s v="loscroftf@ebay.co.uk"/>
    <x v="0"/>
    <x v="0"/>
    <x v="0"/>
    <x v="2"/>
    <n v="22.884999999999998"/>
    <n v="114.42499999999998"/>
    <x v="0"/>
    <s v="Medium"/>
    <x v="1"/>
  </r>
  <r>
    <s v="VAU-44387-624"/>
    <x v="13"/>
    <s v="99643-51048-IQ"/>
    <s v="A-M-0.2"/>
    <n v="6"/>
    <x v="14"/>
    <s v="malabasterg@hexun.com"/>
    <x v="0"/>
    <x v="2"/>
    <x v="0"/>
    <x v="3"/>
    <n v="3.375"/>
    <n v="20.25"/>
    <x v="2"/>
    <s v="Medium"/>
    <x v="1"/>
  </r>
  <r>
    <s v="RDW-33155-159"/>
    <x v="14"/>
    <s v="62173-15287-CU"/>
    <s v="A-L-1"/>
    <n v="6"/>
    <x v="15"/>
    <s v="rbroxuph@jimdo.com"/>
    <x v="0"/>
    <x v="2"/>
    <x v="1"/>
    <x v="0"/>
    <n v="12.95"/>
    <n v="77.699999999999989"/>
    <x v="2"/>
    <s v="Light"/>
    <x v="1"/>
  </r>
  <r>
    <s v="TDZ-59011-211"/>
    <x v="15"/>
    <s v="57611-05522-ST"/>
    <s v="R-D-2.5"/>
    <n v="4"/>
    <x v="16"/>
    <s v="predfordi@ow.ly"/>
    <x v="1"/>
    <x v="0"/>
    <x v="2"/>
    <x v="2"/>
    <n v="20.584999999999997"/>
    <n v="82.339999999999989"/>
    <x v="0"/>
    <s v="Dark"/>
    <x v="0"/>
  </r>
  <r>
    <s v="IDU-25793-399"/>
    <x v="16"/>
    <s v="76664-37050-DT"/>
    <s v="A-M-0.2"/>
    <n v="5"/>
    <x v="17"/>
    <s v="acorradinoj@harvard.edu"/>
    <x v="0"/>
    <x v="2"/>
    <x v="0"/>
    <x v="3"/>
    <n v="3.375"/>
    <n v="16.875"/>
    <x v="2"/>
    <s v="Medium"/>
    <x v="0"/>
  </r>
  <r>
    <s v="IDU-25793-399"/>
    <x v="16"/>
    <s v="76664-37050-DT"/>
    <s v="E-D-0.2"/>
    <n v="4"/>
    <x v="17"/>
    <s v="acorradinoj@harvard.edu"/>
    <x v="0"/>
    <x v="1"/>
    <x v="2"/>
    <x v="3"/>
    <n v="3.645"/>
    <n v="14.58"/>
    <x v="1"/>
    <s v="Dark"/>
    <x v="0"/>
  </r>
  <r>
    <s v="NUO-20013-488"/>
    <x v="16"/>
    <s v="03090-88267-BQ"/>
    <s v="A-D-0.2"/>
    <n v="6"/>
    <x v="18"/>
    <s v="adavidowskyl@netvibes.com"/>
    <x v="0"/>
    <x v="2"/>
    <x v="2"/>
    <x v="3"/>
    <n v="2.9849999999999999"/>
    <n v="17.91"/>
    <x v="2"/>
    <s v="Dark"/>
    <x v="1"/>
  </r>
  <r>
    <s v="UQU-65630-479"/>
    <x v="17"/>
    <s v="37651-47492-NC"/>
    <s v="R-M-2.5"/>
    <n v="4"/>
    <x v="19"/>
    <s v="aantukm@kickstarter.com"/>
    <x v="0"/>
    <x v="0"/>
    <x v="0"/>
    <x v="2"/>
    <n v="22.884999999999998"/>
    <n v="91.539999999999992"/>
    <x v="0"/>
    <s v="Medium"/>
    <x v="0"/>
  </r>
  <r>
    <s v="FEO-11834-332"/>
    <x v="18"/>
    <s v="95399-57205-HI"/>
    <s v="A-D-0.2"/>
    <n v="4"/>
    <x v="20"/>
    <s v="ikleinertn@timesonline.co.uk"/>
    <x v="0"/>
    <x v="2"/>
    <x v="2"/>
    <x v="3"/>
    <n v="2.9849999999999999"/>
    <n v="11.94"/>
    <x v="2"/>
    <s v="Dark"/>
    <x v="0"/>
  </r>
  <r>
    <s v="TKY-71558-096"/>
    <x v="19"/>
    <s v="24010-66714-HW"/>
    <s v="A-M-1"/>
    <n v="1"/>
    <x v="21"/>
    <s v="cblofeldo@amazon.co.uk"/>
    <x v="0"/>
    <x v="2"/>
    <x v="0"/>
    <x v="0"/>
    <n v="11.25"/>
    <n v="11.25"/>
    <x v="2"/>
    <s v="Medium"/>
    <x v="1"/>
  </r>
  <r>
    <s v="OXY-65322-253"/>
    <x v="20"/>
    <s v="07591-92789-UA"/>
    <s v="E-M-0.2"/>
    <n v="3"/>
    <x v="22"/>
    <s v=""/>
    <x v="0"/>
    <x v="1"/>
    <x v="0"/>
    <x v="3"/>
    <n v="4.125"/>
    <n v="12.375"/>
    <x v="1"/>
    <s v="Medium"/>
    <x v="0"/>
  </r>
  <r>
    <s v="EVP-43500-491"/>
    <x v="21"/>
    <s v="49231-44455-IC"/>
    <s v="A-M-0.5"/>
    <n v="4"/>
    <x v="23"/>
    <s v="sshalesq@umich.edu"/>
    <x v="0"/>
    <x v="2"/>
    <x v="0"/>
    <x v="1"/>
    <n v="6.75"/>
    <n v="27"/>
    <x v="2"/>
    <s v="Medium"/>
    <x v="0"/>
  </r>
  <r>
    <s v="WAG-26945-689"/>
    <x v="22"/>
    <s v="50124-88608-EO"/>
    <s v="A-M-0.2"/>
    <n v="5"/>
    <x v="24"/>
    <s v="vdanneilr@mtv.com"/>
    <x v="1"/>
    <x v="2"/>
    <x v="0"/>
    <x v="3"/>
    <n v="3.375"/>
    <n v="16.875"/>
    <x v="2"/>
    <s v="Medium"/>
    <x v="1"/>
  </r>
  <r>
    <s v="CHE-78995-767"/>
    <x v="23"/>
    <s v="00888-74814-UZ"/>
    <s v="A-D-0.5"/>
    <n v="3"/>
    <x v="25"/>
    <s v="tnewburys@usda.gov"/>
    <x v="1"/>
    <x v="2"/>
    <x v="2"/>
    <x v="1"/>
    <n v="5.97"/>
    <n v="17.91"/>
    <x v="2"/>
    <s v="Dark"/>
    <x v="1"/>
  </r>
  <r>
    <s v="RYZ-14633-602"/>
    <x v="21"/>
    <s v="14158-30713-OB"/>
    <s v="A-D-1"/>
    <n v="4"/>
    <x v="26"/>
    <s v="mcalcuttt@baidu.com"/>
    <x v="1"/>
    <x v="2"/>
    <x v="2"/>
    <x v="0"/>
    <n v="9.9499999999999993"/>
    <n v="39.799999999999997"/>
    <x v="2"/>
    <s v="Dark"/>
    <x v="0"/>
  </r>
  <r>
    <s v="WOQ-36015-429"/>
    <x v="24"/>
    <s v="51427-89175-QJ"/>
    <s v="L-M-0.2"/>
    <n v="5"/>
    <x v="27"/>
    <s v=""/>
    <x v="0"/>
    <x v="3"/>
    <x v="0"/>
    <x v="3"/>
    <n v="4.3650000000000002"/>
    <n v="21.825000000000003"/>
    <x v="3"/>
    <s v="Medium"/>
    <x v="1"/>
  </r>
  <r>
    <s v="WOQ-36015-429"/>
    <x v="24"/>
    <s v="51427-89175-QJ"/>
    <s v="A-D-0.5"/>
    <n v="6"/>
    <x v="27"/>
    <s v=""/>
    <x v="0"/>
    <x v="2"/>
    <x v="2"/>
    <x v="1"/>
    <n v="5.97"/>
    <n v="35.82"/>
    <x v="2"/>
    <s v="Dark"/>
    <x v="1"/>
  </r>
  <r>
    <s v="WOQ-36015-429"/>
    <x v="24"/>
    <s v="51427-89175-QJ"/>
    <s v="L-M-0.5"/>
    <n v="6"/>
    <x v="27"/>
    <s v=""/>
    <x v="0"/>
    <x v="3"/>
    <x v="0"/>
    <x v="1"/>
    <n v="8.73"/>
    <n v="52.38"/>
    <x v="3"/>
    <s v="Medium"/>
    <x v="1"/>
  </r>
  <r>
    <s v="SCT-60553-454"/>
    <x v="25"/>
    <s v="39123-12846-YJ"/>
    <s v="L-L-0.2"/>
    <n v="5"/>
    <x v="28"/>
    <s v="ggatheralx@123-reg.co.uk"/>
    <x v="0"/>
    <x v="3"/>
    <x v="1"/>
    <x v="3"/>
    <n v="4.7549999999999999"/>
    <n v="23.774999999999999"/>
    <x v="3"/>
    <s v="Light"/>
    <x v="1"/>
  </r>
  <r>
    <s v="GFK-52063-244"/>
    <x v="26"/>
    <s v="44981-99666-XB"/>
    <s v="L-L-0.5"/>
    <n v="6"/>
    <x v="29"/>
    <s v="uwelberryy@ebay.co.uk"/>
    <x v="2"/>
    <x v="3"/>
    <x v="1"/>
    <x v="1"/>
    <n v="9.51"/>
    <n v="57.06"/>
    <x v="3"/>
    <s v="Light"/>
    <x v="0"/>
  </r>
  <r>
    <s v="AMM-79521-378"/>
    <x v="27"/>
    <s v="24825-51803-CQ"/>
    <s v="A-D-0.5"/>
    <n v="6"/>
    <x v="30"/>
    <s v="feilhartz@who.int"/>
    <x v="0"/>
    <x v="2"/>
    <x v="2"/>
    <x v="1"/>
    <n v="5.97"/>
    <n v="35.82"/>
    <x v="2"/>
    <s v="Dark"/>
    <x v="1"/>
  </r>
  <r>
    <s v="QUQ-90580-772"/>
    <x v="28"/>
    <s v="77634-13918-GJ"/>
    <s v="L-M-0.2"/>
    <n v="2"/>
    <x v="31"/>
    <s v="zponting10@altervista.org"/>
    <x v="0"/>
    <x v="3"/>
    <x v="0"/>
    <x v="3"/>
    <n v="4.3650000000000002"/>
    <n v="8.73"/>
    <x v="3"/>
    <s v="Medium"/>
    <x v="1"/>
  </r>
  <r>
    <s v="LGD-24408-274"/>
    <x v="29"/>
    <s v="13694-25001-LX"/>
    <s v="L-L-0.5"/>
    <n v="3"/>
    <x v="32"/>
    <s v="sstrase11@booking.com"/>
    <x v="0"/>
    <x v="3"/>
    <x v="1"/>
    <x v="1"/>
    <n v="9.51"/>
    <n v="28.53"/>
    <x v="3"/>
    <s v="Light"/>
    <x v="1"/>
  </r>
  <r>
    <s v="HCT-95608-959"/>
    <x v="30"/>
    <s v="08523-01791-TI"/>
    <s v="R-M-2.5"/>
    <n v="5"/>
    <x v="33"/>
    <s v="dde12@unesco.org"/>
    <x v="0"/>
    <x v="0"/>
    <x v="0"/>
    <x v="2"/>
    <n v="22.884999999999998"/>
    <n v="114.42499999999998"/>
    <x v="0"/>
    <s v="Medium"/>
    <x v="1"/>
  </r>
  <r>
    <s v="OFX-99147-470"/>
    <x v="31"/>
    <s v="49860-68865-AB"/>
    <s v="R-M-1"/>
    <n v="6"/>
    <x v="34"/>
    <s v=""/>
    <x v="0"/>
    <x v="0"/>
    <x v="0"/>
    <x v="0"/>
    <n v="9.9499999999999993"/>
    <n v="59.699999999999996"/>
    <x v="0"/>
    <s v="Medium"/>
    <x v="0"/>
  </r>
  <r>
    <s v="LUO-37559-016"/>
    <x v="32"/>
    <s v="21240-83132-SP"/>
    <s v="L-M-1"/>
    <n v="3"/>
    <x v="35"/>
    <s v=""/>
    <x v="0"/>
    <x v="3"/>
    <x v="0"/>
    <x v="0"/>
    <n v="14.55"/>
    <n v="43.650000000000006"/>
    <x v="3"/>
    <s v="Medium"/>
    <x v="1"/>
  </r>
  <r>
    <s v="XWC-20610-167"/>
    <x v="33"/>
    <s v="08350-81623-TF"/>
    <s v="E-D-0.2"/>
    <n v="2"/>
    <x v="36"/>
    <s v="lyeoland15@pbs.org"/>
    <x v="0"/>
    <x v="1"/>
    <x v="2"/>
    <x v="3"/>
    <n v="3.645"/>
    <n v="7.29"/>
    <x v="1"/>
    <s v="Dark"/>
    <x v="0"/>
  </r>
  <r>
    <s v="GPU-79113-136"/>
    <x v="34"/>
    <s v="73284-01385-SJ"/>
    <s v="R-D-0.2"/>
    <n v="3"/>
    <x v="37"/>
    <s v="atolworthy16@toplist.cz"/>
    <x v="0"/>
    <x v="0"/>
    <x v="2"/>
    <x v="3"/>
    <n v="2.6849999999999996"/>
    <n v="8.0549999999999997"/>
    <x v="0"/>
    <s v="Dark"/>
    <x v="0"/>
  </r>
  <r>
    <s v="ULR-52653-960"/>
    <x v="35"/>
    <s v="04152-34436-IE"/>
    <s v="L-L-2.5"/>
    <n v="2"/>
    <x v="38"/>
    <s v=""/>
    <x v="0"/>
    <x v="3"/>
    <x v="1"/>
    <x v="2"/>
    <n v="36.454999999999998"/>
    <n v="72.91"/>
    <x v="3"/>
    <s v="Light"/>
    <x v="1"/>
  </r>
  <r>
    <s v="HPI-42308-142"/>
    <x v="36"/>
    <s v="06631-86965-XP"/>
    <s v="E-M-0.5"/>
    <n v="2"/>
    <x v="39"/>
    <s v="obaudassi18@seesaa.net"/>
    <x v="0"/>
    <x v="1"/>
    <x v="0"/>
    <x v="1"/>
    <n v="8.25"/>
    <n v="16.5"/>
    <x v="1"/>
    <s v="Medium"/>
    <x v="0"/>
  </r>
  <r>
    <s v="XHI-30227-581"/>
    <x v="37"/>
    <s v="54619-08558-ZU"/>
    <s v="L-D-2.5"/>
    <n v="6"/>
    <x v="40"/>
    <s v="pkingsbury19@comcast.net"/>
    <x v="0"/>
    <x v="3"/>
    <x v="2"/>
    <x v="2"/>
    <n v="29.784999999999997"/>
    <n v="178.70999999999998"/>
    <x v="3"/>
    <s v="Dark"/>
    <x v="1"/>
  </r>
  <r>
    <s v="DJH-05202-380"/>
    <x v="38"/>
    <s v="85589-17020-CX"/>
    <s v="E-M-2.5"/>
    <n v="2"/>
    <x v="41"/>
    <s v=""/>
    <x v="0"/>
    <x v="1"/>
    <x v="0"/>
    <x v="2"/>
    <n v="31.624999999999996"/>
    <n v="63.249999999999993"/>
    <x v="1"/>
    <s v="Medium"/>
    <x v="0"/>
  </r>
  <r>
    <s v="VMW-26889-781"/>
    <x v="39"/>
    <s v="36078-91009-WU"/>
    <s v="A-L-0.2"/>
    <n v="2"/>
    <x v="42"/>
    <s v="acurley1b@hao123.com"/>
    <x v="0"/>
    <x v="2"/>
    <x v="1"/>
    <x v="3"/>
    <n v="3.8849999999999998"/>
    <n v="7.77"/>
    <x v="2"/>
    <s v="Light"/>
    <x v="0"/>
  </r>
  <r>
    <s v="DBU-81099-586"/>
    <x v="40"/>
    <s v="15770-27099-GX"/>
    <s v="A-D-2.5"/>
    <n v="4"/>
    <x v="43"/>
    <s v="rmcgilvary1c@tamu.edu"/>
    <x v="0"/>
    <x v="2"/>
    <x v="2"/>
    <x v="2"/>
    <n v="22.884999999999998"/>
    <n v="91.539999999999992"/>
    <x v="2"/>
    <s v="Dark"/>
    <x v="1"/>
  </r>
  <r>
    <s v="PQA-54820-810"/>
    <x v="41"/>
    <s v="91460-04823-BX"/>
    <s v="A-L-1"/>
    <n v="3"/>
    <x v="44"/>
    <s v="ipikett1d@xinhuanet.com"/>
    <x v="0"/>
    <x v="2"/>
    <x v="1"/>
    <x v="0"/>
    <n v="12.95"/>
    <n v="38.849999999999994"/>
    <x v="2"/>
    <s v="Light"/>
    <x v="1"/>
  </r>
  <r>
    <s v="XKB-41924-202"/>
    <x v="42"/>
    <s v="45089-52817-WN"/>
    <s v="L-D-0.5"/>
    <n v="2"/>
    <x v="45"/>
    <s v="ibouldon1e@gizmodo.com"/>
    <x v="0"/>
    <x v="3"/>
    <x v="2"/>
    <x v="1"/>
    <n v="7.77"/>
    <n v="15.54"/>
    <x v="3"/>
    <s v="Dark"/>
    <x v="1"/>
  </r>
  <r>
    <s v="DWZ-69106-473"/>
    <x v="43"/>
    <s v="76447-50326-IC"/>
    <s v="L-L-2.5"/>
    <n v="4"/>
    <x v="46"/>
    <s v="kflanders1f@over-blog.com"/>
    <x v="1"/>
    <x v="3"/>
    <x v="1"/>
    <x v="2"/>
    <n v="36.454999999999998"/>
    <n v="145.82"/>
    <x v="3"/>
    <s v="Light"/>
    <x v="0"/>
  </r>
  <r>
    <s v="YHV-68700-050"/>
    <x v="44"/>
    <s v="26333-67911-OL"/>
    <s v="R-M-0.5"/>
    <n v="5"/>
    <x v="47"/>
    <s v="hmattioli1g@webmd.com"/>
    <x v="2"/>
    <x v="0"/>
    <x v="0"/>
    <x v="1"/>
    <n v="5.97"/>
    <n v="29.849999999999998"/>
    <x v="0"/>
    <s v="Medium"/>
    <x v="1"/>
  </r>
  <r>
    <s v="YHV-68700-050"/>
    <x v="44"/>
    <s v="26333-67911-OL"/>
    <s v="L-L-2.5"/>
    <n v="2"/>
    <x v="47"/>
    <s v="hmattioli1g@webmd.com"/>
    <x v="2"/>
    <x v="3"/>
    <x v="1"/>
    <x v="2"/>
    <n v="36.454999999999998"/>
    <n v="72.91"/>
    <x v="3"/>
    <s v="Light"/>
    <x v="1"/>
  </r>
  <r>
    <s v="KRB-88066-642"/>
    <x v="45"/>
    <s v="22107-86640-SB"/>
    <s v="L-M-1"/>
    <n v="5"/>
    <x v="48"/>
    <s v="agillard1i@issuu.com"/>
    <x v="0"/>
    <x v="3"/>
    <x v="0"/>
    <x v="0"/>
    <n v="14.55"/>
    <n v="72.75"/>
    <x v="3"/>
    <s v="Medium"/>
    <x v="1"/>
  </r>
  <r>
    <s v="LQU-08404-173"/>
    <x v="46"/>
    <s v="09960-34242-LZ"/>
    <s v="L-L-1"/>
    <n v="3"/>
    <x v="49"/>
    <s v=""/>
    <x v="0"/>
    <x v="3"/>
    <x v="1"/>
    <x v="0"/>
    <n v="15.85"/>
    <n v="47.55"/>
    <x v="3"/>
    <s v="Light"/>
    <x v="1"/>
  </r>
  <r>
    <s v="CWK-60159-881"/>
    <x v="47"/>
    <s v="04671-85591-RT"/>
    <s v="E-D-0.2"/>
    <n v="3"/>
    <x v="50"/>
    <s v="tgrizard1k@odnoklassniki.ru"/>
    <x v="0"/>
    <x v="1"/>
    <x v="2"/>
    <x v="3"/>
    <n v="3.645"/>
    <n v="10.935"/>
    <x v="1"/>
    <s v="Dark"/>
    <x v="0"/>
  </r>
  <r>
    <s v="EEG-74197-843"/>
    <x v="48"/>
    <s v="25729-68859-UA"/>
    <s v="E-L-1"/>
    <n v="4"/>
    <x v="51"/>
    <s v="rrelton1l@stanford.edu"/>
    <x v="0"/>
    <x v="1"/>
    <x v="1"/>
    <x v="0"/>
    <n v="14.85"/>
    <n v="59.4"/>
    <x v="1"/>
    <s v="Light"/>
    <x v="1"/>
  </r>
  <r>
    <s v="UCZ-59708-525"/>
    <x v="49"/>
    <s v="05501-86351-NX"/>
    <s v="L-D-2.5"/>
    <n v="3"/>
    <x v="52"/>
    <s v=""/>
    <x v="0"/>
    <x v="3"/>
    <x v="2"/>
    <x v="2"/>
    <n v="29.784999999999997"/>
    <n v="89.35499999999999"/>
    <x v="3"/>
    <s v="Dark"/>
    <x v="0"/>
  </r>
  <r>
    <s v="HUB-47311-849"/>
    <x v="50"/>
    <s v="04521-04300-OK"/>
    <s v="L-M-0.5"/>
    <n v="3"/>
    <x v="53"/>
    <s v="sgilroy1n@eepurl.com"/>
    <x v="0"/>
    <x v="3"/>
    <x v="0"/>
    <x v="1"/>
    <n v="8.73"/>
    <n v="26.19"/>
    <x v="3"/>
    <s v="Medium"/>
    <x v="0"/>
  </r>
  <r>
    <s v="WYM-17686-694"/>
    <x v="51"/>
    <s v="58689-55264-VK"/>
    <s v="A-D-2.5"/>
    <n v="5"/>
    <x v="54"/>
    <s v="ccottingham1o@wikipedia.org"/>
    <x v="0"/>
    <x v="2"/>
    <x v="2"/>
    <x v="2"/>
    <n v="22.884999999999998"/>
    <n v="114.42499999999998"/>
    <x v="2"/>
    <s v="Dark"/>
    <x v="1"/>
  </r>
  <r>
    <s v="ZYQ-15797-695"/>
    <x v="52"/>
    <s v="79436-73011-MM"/>
    <s v="R-D-0.5"/>
    <n v="5"/>
    <x v="55"/>
    <s v=""/>
    <x v="2"/>
    <x v="0"/>
    <x v="2"/>
    <x v="1"/>
    <n v="5.3699999999999992"/>
    <n v="26.849999999999994"/>
    <x v="0"/>
    <s v="Dark"/>
    <x v="0"/>
  </r>
  <r>
    <s v="EEJ-16185-108"/>
    <x v="53"/>
    <s v="65552-60476-KY"/>
    <s v="L-L-0.2"/>
    <n v="5"/>
    <x v="56"/>
    <s v=""/>
    <x v="0"/>
    <x v="3"/>
    <x v="1"/>
    <x v="3"/>
    <n v="4.7549999999999999"/>
    <n v="23.774999999999999"/>
    <x v="3"/>
    <s v="Light"/>
    <x v="0"/>
  </r>
  <r>
    <s v="RWR-77888-800"/>
    <x v="54"/>
    <s v="69904-02729-YS"/>
    <s v="A-M-0.5"/>
    <n v="1"/>
    <x v="57"/>
    <s v="adykes1r@eventbrite.com"/>
    <x v="0"/>
    <x v="2"/>
    <x v="0"/>
    <x v="1"/>
    <n v="6.75"/>
    <n v="6.75"/>
    <x v="2"/>
    <s v="Medium"/>
    <x v="1"/>
  </r>
  <r>
    <s v="LHN-75209-742"/>
    <x v="55"/>
    <s v="01433-04270-AX"/>
    <s v="R-M-0.5"/>
    <n v="6"/>
    <x v="58"/>
    <s v=""/>
    <x v="0"/>
    <x v="0"/>
    <x v="0"/>
    <x v="1"/>
    <n v="5.97"/>
    <n v="35.82"/>
    <x v="0"/>
    <s v="Medium"/>
    <x v="0"/>
  </r>
  <r>
    <s v="TIR-71396-998"/>
    <x v="56"/>
    <s v="14204-14186-LA"/>
    <s v="R-D-2.5"/>
    <n v="4"/>
    <x v="59"/>
    <s v="acockrem1t@engadget.com"/>
    <x v="0"/>
    <x v="0"/>
    <x v="2"/>
    <x v="2"/>
    <n v="20.584999999999997"/>
    <n v="82.339999999999989"/>
    <x v="0"/>
    <s v="Dark"/>
    <x v="0"/>
  </r>
  <r>
    <s v="RXF-37618-213"/>
    <x v="57"/>
    <s v="32948-34398-HC"/>
    <s v="R-L-0.5"/>
    <n v="1"/>
    <x v="60"/>
    <s v="bumpleby1u@soundcloud.com"/>
    <x v="0"/>
    <x v="0"/>
    <x v="1"/>
    <x v="1"/>
    <n v="7.169999999999999"/>
    <n v="7.169999999999999"/>
    <x v="0"/>
    <s v="Light"/>
    <x v="0"/>
  </r>
  <r>
    <s v="ANM-16388-634"/>
    <x v="58"/>
    <s v="77343-52608-FF"/>
    <s v="L-L-0.2"/>
    <n v="2"/>
    <x v="61"/>
    <s v="nsaleway1v@dedecms.com"/>
    <x v="0"/>
    <x v="3"/>
    <x v="1"/>
    <x v="3"/>
    <n v="4.7549999999999999"/>
    <n v="9.51"/>
    <x v="3"/>
    <s v="Light"/>
    <x v="1"/>
  </r>
  <r>
    <s v="WYL-29300-070"/>
    <x v="59"/>
    <s v="42770-36274-QA"/>
    <s v="R-M-0.2"/>
    <n v="1"/>
    <x v="62"/>
    <s v="hgoulter1w@abc.net.au"/>
    <x v="0"/>
    <x v="0"/>
    <x v="0"/>
    <x v="3"/>
    <n v="2.9849999999999999"/>
    <n v="2.9849999999999999"/>
    <x v="0"/>
    <s v="Medium"/>
    <x v="1"/>
  </r>
  <r>
    <s v="JHW-74554-805"/>
    <x v="60"/>
    <s v="14103-58987-ZU"/>
    <s v="R-M-1"/>
    <n v="6"/>
    <x v="63"/>
    <s v="grizzello1x@symantec.com"/>
    <x v="2"/>
    <x v="0"/>
    <x v="0"/>
    <x v="0"/>
    <n v="9.9499999999999993"/>
    <n v="59.699999999999996"/>
    <x v="0"/>
    <s v="Medium"/>
    <x v="0"/>
  </r>
  <r>
    <s v="KYS-27063-603"/>
    <x v="61"/>
    <s v="69958-32065-SW"/>
    <s v="E-L-2.5"/>
    <n v="4"/>
    <x v="64"/>
    <s v="slist1y@mapquest.com"/>
    <x v="0"/>
    <x v="1"/>
    <x v="1"/>
    <x v="2"/>
    <n v="34.154999999999994"/>
    <n v="136.61999999999998"/>
    <x v="1"/>
    <s v="Light"/>
    <x v="1"/>
  </r>
  <r>
    <s v="GAZ-58626-277"/>
    <x v="62"/>
    <s v="69533-84907-FA"/>
    <s v="L-L-0.2"/>
    <n v="2"/>
    <x v="65"/>
    <s v="sedmondson1z@theguardian.com"/>
    <x v="1"/>
    <x v="3"/>
    <x v="1"/>
    <x v="3"/>
    <n v="4.7549999999999999"/>
    <n v="9.51"/>
    <x v="3"/>
    <s v="Light"/>
    <x v="1"/>
  </r>
  <r>
    <s v="RPJ-37787-335"/>
    <x v="63"/>
    <s v="76005-95461-CI"/>
    <s v="A-M-2.5"/>
    <n v="3"/>
    <x v="66"/>
    <s v=""/>
    <x v="0"/>
    <x v="2"/>
    <x v="0"/>
    <x v="2"/>
    <n v="25.874999999999996"/>
    <n v="77.624999999999986"/>
    <x v="2"/>
    <s v="Medium"/>
    <x v="1"/>
  </r>
  <r>
    <s v="LEF-83057-763"/>
    <x v="64"/>
    <s v="15395-90855-VB"/>
    <s v="L-M-0.2"/>
    <n v="5"/>
    <x v="67"/>
    <s v=""/>
    <x v="0"/>
    <x v="3"/>
    <x v="0"/>
    <x v="3"/>
    <n v="4.3650000000000002"/>
    <n v="21.825000000000003"/>
    <x v="3"/>
    <s v="Medium"/>
    <x v="0"/>
  </r>
  <r>
    <s v="RPW-36123-215"/>
    <x v="65"/>
    <s v="80640-45811-LB"/>
    <s v="E-L-0.5"/>
    <n v="2"/>
    <x v="68"/>
    <s v="jrangall22@newsvine.com"/>
    <x v="0"/>
    <x v="1"/>
    <x v="1"/>
    <x v="1"/>
    <n v="8.91"/>
    <n v="17.82"/>
    <x v="1"/>
    <s v="Light"/>
    <x v="0"/>
  </r>
  <r>
    <s v="WLL-59044-117"/>
    <x v="66"/>
    <s v="28476-04082-GR"/>
    <s v="R-D-1"/>
    <n v="6"/>
    <x v="69"/>
    <s v="kboorn23@ezinearticles.com"/>
    <x v="1"/>
    <x v="0"/>
    <x v="2"/>
    <x v="0"/>
    <n v="8.9499999999999993"/>
    <n v="53.699999999999996"/>
    <x v="0"/>
    <s v="Dark"/>
    <x v="0"/>
  </r>
  <r>
    <s v="AWT-22827-563"/>
    <x v="67"/>
    <s v="12018-75670-EU"/>
    <s v="R-L-0.2"/>
    <n v="1"/>
    <x v="70"/>
    <s v=""/>
    <x v="1"/>
    <x v="0"/>
    <x v="1"/>
    <x v="3"/>
    <n v="3.5849999999999995"/>
    <n v="3.5849999999999995"/>
    <x v="0"/>
    <s v="Light"/>
    <x v="0"/>
  </r>
  <r>
    <s v="QLM-07145-668"/>
    <x v="68"/>
    <s v="86437-17399-FK"/>
    <s v="E-D-0.2"/>
    <n v="2"/>
    <x v="71"/>
    <s v="celgey25@webs.com"/>
    <x v="0"/>
    <x v="1"/>
    <x v="2"/>
    <x v="3"/>
    <n v="3.645"/>
    <n v="7.29"/>
    <x v="1"/>
    <s v="Dark"/>
    <x v="1"/>
  </r>
  <r>
    <s v="HVQ-64398-930"/>
    <x v="69"/>
    <s v="62979-53167-ML"/>
    <s v="A-M-0.5"/>
    <n v="6"/>
    <x v="72"/>
    <s v="lmizzi26@rakuten.co.jp"/>
    <x v="0"/>
    <x v="2"/>
    <x v="0"/>
    <x v="1"/>
    <n v="6.75"/>
    <n v="40.5"/>
    <x v="2"/>
    <s v="Medium"/>
    <x v="0"/>
  </r>
  <r>
    <s v="WRT-40778-247"/>
    <x v="70"/>
    <s v="54810-81899-HL"/>
    <s v="R-L-1"/>
    <n v="4"/>
    <x v="73"/>
    <s v="cgiacomazzo27@jigsy.com"/>
    <x v="0"/>
    <x v="0"/>
    <x v="1"/>
    <x v="0"/>
    <n v="11.95"/>
    <n v="47.8"/>
    <x v="0"/>
    <s v="Light"/>
    <x v="1"/>
  </r>
  <r>
    <s v="SUB-13006-125"/>
    <x v="71"/>
    <s v="26103-41504-IB"/>
    <s v="A-L-0.5"/>
    <n v="5"/>
    <x v="74"/>
    <s v="aarnow28@arizona.edu"/>
    <x v="0"/>
    <x v="2"/>
    <x v="1"/>
    <x v="1"/>
    <n v="7.77"/>
    <n v="38.849999999999994"/>
    <x v="2"/>
    <s v="Light"/>
    <x v="0"/>
  </r>
  <r>
    <s v="CQM-49696-263"/>
    <x v="72"/>
    <s v="76534-45229-SG"/>
    <s v="L-L-2.5"/>
    <n v="3"/>
    <x v="75"/>
    <s v="syann29@senate.gov"/>
    <x v="0"/>
    <x v="3"/>
    <x v="1"/>
    <x v="2"/>
    <n v="36.454999999999998"/>
    <n v="109.36499999999999"/>
    <x v="3"/>
    <s v="Light"/>
    <x v="0"/>
  </r>
  <r>
    <s v="KXN-85094-246"/>
    <x v="73"/>
    <s v="81744-27332-RR"/>
    <s v="L-M-2.5"/>
    <n v="3"/>
    <x v="76"/>
    <s v="bnaulls2a@tiny.cc"/>
    <x v="1"/>
    <x v="3"/>
    <x v="0"/>
    <x v="2"/>
    <n v="33.464999999999996"/>
    <n v="100.39499999999998"/>
    <x v="3"/>
    <s v="Medium"/>
    <x v="0"/>
  </r>
  <r>
    <s v="XOQ-12405-419"/>
    <x v="74"/>
    <s v="91513-75657-PH"/>
    <s v="R-D-2.5"/>
    <n v="4"/>
    <x v="77"/>
    <s v=""/>
    <x v="0"/>
    <x v="0"/>
    <x v="2"/>
    <x v="2"/>
    <n v="20.584999999999997"/>
    <n v="82.339999999999989"/>
    <x v="0"/>
    <s v="Dark"/>
    <x v="0"/>
  </r>
  <r>
    <s v="HYF-10254-369"/>
    <x v="75"/>
    <s v="30373-66619-CB"/>
    <s v="L-L-0.5"/>
    <n v="1"/>
    <x v="78"/>
    <s v="zsherewood2c@apache.org"/>
    <x v="0"/>
    <x v="3"/>
    <x v="1"/>
    <x v="1"/>
    <n v="9.51"/>
    <n v="9.51"/>
    <x v="3"/>
    <s v="Light"/>
    <x v="1"/>
  </r>
  <r>
    <s v="XXJ-47000-307"/>
    <x v="76"/>
    <s v="31582-23562-FM"/>
    <s v="A-L-2.5"/>
    <n v="3"/>
    <x v="79"/>
    <s v="jdufaire2d@fc2.com"/>
    <x v="0"/>
    <x v="2"/>
    <x v="1"/>
    <x v="2"/>
    <n v="29.784999999999997"/>
    <n v="89.35499999999999"/>
    <x v="2"/>
    <s v="Light"/>
    <x v="1"/>
  </r>
  <r>
    <s v="XXJ-47000-307"/>
    <x v="76"/>
    <s v="31582-23562-FM"/>
    <s v="A-D-0.2"/>
    <n v="4"/>
    <x v="79"/>
    <s v="jdufaire2d@fc2.com"/>
    <x v="0"/>
    <x v="2"/>
    <x v="2"/>
    <x v="3"/>
    <n v="2.9849999999999999"/>
    <n v="11.94"/>
    <x v="2"/>
    <s v="Dark"/>
    <x v="1"/>
  </r>
  <r>
    <s v="ZDK-82166-357"/>
    <x v="77"/>
    <s v="81431-12577-VD"/>
    <s v="A-M-1"/>
    <n v="3"/>
    <x v="80"/>
    <s v="bkeaveney2f@netlog.com"/>
    <x v="0"/>
    <x v="2"/>
    <x v="0"/>
    <x v="0"/>
    <n v="11.25"/>
    <n v="33.75"/>
    <x v="2"/>
    <s v="Medium"/>
    <x v="1"/>
  </r>
  <r>
    <s v="IHN-19982-362"/>
    <x v="78"/>
    <s v="68894-91205-MP"/>
    <s v="R-L-1"/>
    <n v="3"/>
    <x v="81"/>
    <s v="egrise2g@cargocollective.com"/>
    <x v="0"/>
    <x v="0"/>
    <x v="1"/>
    <x v="0"/>
    <n v="11.95"/>
    <n v="35.849999999999994"/>
    <x v="0"/>
    <s v="Light"/>
    <x v="1"/>
  </r>
  <r>
    <s v="VMT-10030-889"/>
    <x v="79"/>
    <s v="87602-55754-VN"/>
    <s v="A-L-1"/>
    <n v="6"/>
    <x v="82"/>
    <s v="tgottelier2h@vistaprint.com"/>
    <x v="0"/>
    <x v="2"/>
    <x v="1"/>
    <x v="0"/>
    <n v="12.95"/>
    <n v="77.699999999999989"/>
    <x v="2"/>
    <s v="Light"/>
    <x v="1"/>
  </r>
  <r>
    <s v="NHL-11063-100"/>
    <x v="80"/>
    <s v="39181-35745-WH"/>
    <s v="A-L-1"/>
    <n v="4"/>
    <x v="83"/>
    <s v=""/>
    <x v="1"/>
    <x v="2"/>
    <x v="1"/>
    <x v="0"/>
    <n v="12.95"/>
    <n v="51.8"/>
    <x v="2"/>
    <s v="Light"/>
    <x v="0"/>
  </r>
  <r>
    <s v="ROV-87448-086"/>
    <x v="81"/>
    <s v="30381-64762-NG"/>
    <s v="A-M-2.5"/>
    <n v="4"/>
    <x v="84"/>
    <s v="agreenhead2j@dailymail.co.uk"/>
    <x v="0"/>
    <x v="2"/>
    <x v="0"/>
    <x v="2"/>
    <n v="25.874999999999996"/>
    <n v="103.49999999999999"/>
    <x v="2"/>
    <s v="Medium"/>
    <x v="1"/>
  </r>
  <r>
    <s v="DGY-35773-612"/>
    <x v="82"/>
    <s v="17503-27693-ZH"/>
    <s v="E-L-1"/>
    <n v="3"/>
    <x v="85"/>
    <s v=""/>
    <x v="0"/>
    <x v="1"/>
    <x v="1"/>
    <x v="0"/>
    <n v="14.85"/>
    <n v="44.55"/>
    <x v="1"/>
    <s v="Light"/>
    <x v="0"/>
  </r>
  <r>
    <s v="YWH-50638-556"/>
    <x v="83"/>
    <s v="89442-35633-HJ"/>
    <s v="E-L-0.5"/>
    <n v="4"/>
    <x v="86"/>
    <s v="elangcaster2l@spotify.com"/>
    <x v="2"/>
    <x v="1"/>
    <x v="1"/>
    <x v="1"/>
    <n v="8.91"/>
    <n v="35.64"/>
    <x v="1"/>
    <s v="Light"/>
    <x v="0"/>
  </r>
  <r>
    <s v="ISL-11200-600"/>
    <x v="84"/>
    <s v="13654-85265-IL"/>
    <s v="A-D-0.2"/>
    <n v="6"/>
    <x v="87"/>
    <s v=""/>
    <x v="1"/>
    <x v="2"/>
    <x v="2"/>
    <x v="3"/>
    <n v="2.9849999999999999"/>
    <n v="17.91"/>
    <x v="2"/>
    <s v="Dark"/>
    <x v="0"/>
  </r>
  <r>
    <s v="LBZ-75997-047"/>
    <x v="85"/>
    <s v="40946-22090-FP"/>
    <s v="A-M-2.5"/>
    <n v="6"/>
    <x v="88"/>
    <s v="nmagauran2n@51.la"/>
    <x v="0"/>
    <x v="2"/>
    <x v="0"/>
    <x v="2"/>
    <n v="25.874999999999996"/>
    <n v="155.24999999999997"/>
    <x v="2"/>
    <s v="Medium"/>
    <x v="1"/>
  </r>
  <r>
    <s v="EUH-08089-954"/>
    <x v="86"/>
    <s v="29050-93691-TS"/>
    <s v="A-D-0.2"/>
    <n v="2"/>
    <x v="89"/>
    <s v="vkirdsch2o@google.fr"/>
    <x v="0"/>
    <x v="2"/>
    <x v="2"/>
    <x v="3"/>
    <n v="2.9849999999999999"/>
    <n v="5.97"/>
    <x v="2"/>
    <s v="Dark"/>
    <x v="1"/>
  </r>
  <r>
    <s v="BLD-12227-251"/>
    <x v="87"/>
    <s v="64395-74865-WF"/>
    <s v="A-M-0.5"/>
    <n v="2"/>
    <x v="90"/>
    <s v="iwhapple2p@com.com"/>
    <x v="0"/>
    <x v="2"/>
    <x v="0"/>
    <x v="1"/>
    <n v="6.75"/>
    <n v="13.5"/>
    <x v="2"/>
    <s v="Medium"/>
    <x v="1"/>
  </r>
  <r>
    <s v="OPY-30711-853"/>
    <x v="25"/>
    <s v="81861-66046-SU"/>
    <s v="A-D-0.2"/>
    <n v="1"/>
    <x v="91"/>
    <s v=""/>
    <x v="1"/>
    <x v="2"/>
    <x v="2"/>
    <x v="3"/>
    <n v="2.9849999999999999"/>
    <n v="2.9849999999999999"/>
    <x v="2"/>
    <s v="Dark"/>
    <x v="1"/>
  </r>
  <r>
    <s v="DBC-44122-300"/>
    <x v="88"/>
    <s v="13366-78506-KP"/>
    <s v="L-M-0.2"/>
    <n v="3"/>
    <x v="92"/>
    <s v=""/>
    <x v="0"/>
    <x v="3"/>
    <x v="0"/>
    <x v="3"/>
    <n v="4.3650000000000002"/>
    <n v="13.095000000000001"/>
    <x v="3"/>
    <s v="Medium"/>
    <x v="0"/>
  </r>
  <r>
    <s v="FJQ-60035-234"/>
    <x v="89"/>
    <s v="08847-29858-HN"/>
    <s v="A-L-0.2"/>
    <n v="2"/>
    <x v="93"/>
    <s v=""/>
    <x v="0"/>
    <x v="2"/>
    <x v="1"/>
    <x v="3"/>
    <n v="3.8849999999999998"/>
    <n v="7.77"/>
    <x v="2"/>
    <s v="Light"/>
    <x v="0"/>
  </r>
  <r>
    <s v="HSF-66926-425"/>
    <x v="90"/>
    <s v="00539-42510-RY"/>
    <s v="L-D-2.5"/>
    <n v="5"/>
    <x v="94"/>
    <s v="nyoules2t@reference.com"/>
    <x v="1"/>
    <x v="3"/>
    <x v="2"/>
    <x v="2"/>
    <n v="29.784999999999997"/>
    <n v="148.92499999999998"/>
    <x v="3"/>
    <s v="Dark"/>
    <x v="0"/>
  </r>
  <r>
    <s v="LQG-41416-375"/>
    <x v="91"/>
    <s v="45190-08727-NV"/>
    <s v="L-D-1"/>
    <n v="3"/>
    <x v="95"/>
    <s v="daizikovitz2u@answers.com"/>
    <x v="1"/>
    <x v="3"/>
    <x v="2"/>
    <x v="0"/>
    <n v="12.95"/>
    <n v="38.849999999999994"/>
    <x v="3"/>
    <s v="Dark"/>
    <x v="0"/>
  </r>
  <r>
    <s v="VZO-97265-841"/>
    <x v="92"/>
    <s v="87049-37901-FU"/>
    <s v="R-M-0.2"/>
    <n v="4"/>
    <x v="96"/>
    <s v="brevel2v@fastcompany.com"/>
    <x v="0"/>
    <x v="0"/>
    <x v="0"/>
    <x v="3"/>
    <n v="2.9849999999999999"/>
    <n v="11.94"/>
    <x v="0"/>
    <s v="Medium"/>
    <x v="1"/>
  </r>
  <r>
    <s v="MOR-12987-399"/>
    <x v="93"/>
    <s v="34015-31593-JC"/>
    <s v="L-M-1"/>
    <n v="6"/>
    <x v="97"/>
    <s v="epriddis2w@nationalgeographic.com"/>
    <x v="0"/>
    <x v="3"/>
    <x v="0"/>
    <x v="0"/>
    <n v="14.55"/>
    <n v="87.300000000000011"/>
    <x v="3"/>
    <s v="Medium"/>
    <x v="1"/>
  </r>
  <r>
    <s v="UOA-23786-489"/>
    <x v="94"/>
    <s v="90305-50099-SV"/>
    <s v="A-M-0.5"/>
    <n v="6"/>
    <x v="98"/>
    <s v="qveel2x@jugem.jp"/>
    <x v="0"/>
    <x v="2"/>
    <x v="0"/>
    <x v="1"/>
    <n v="6.75"/>
    <n v="40.5"/>
    <x v="2"/>
    <s v="Medium"/>
    <x v="0"/>
  </r>
  <r>
    <s v="AJL-52941-018"/>
    <x v="95"/>
    <s v="55871-61935-MF"/>
    <s v="E-D-1"/>
    <n v="2"/>
    <x v="99"/>
    <s v="lconyers2y@twitter.com"/>
    <x v="0"/>
    <x v="1"/>
    <x v="2"/>
    <x v="0"/>
    <n v="12.15"/>
    <n v="24.3"/>
    <x v="1"/>
    <s v="Dark"/>
    <x v="1"/>
  </r>
  <r>
    <s v="XSZ-84273-421"/>
    <x v="96"/>
    <s v="15405-60469-TM"/>
    <s v="R-M-0.5"/>
    <n v="3"/>
    <x v="100"/>
    <s v="pwye2z@dagondesign.com"/>
    <x v="0"/>
    <x v="0"/>
    <x v="0"/>
    <x v="1"/>
    <n v="5.97"/>
    <n v="17.91"/>
    <x v="0"/>
    <s v="Medium"/>
    <x v="0"/>
  </r>
  <r>
    <s v="NUN-48214-216"/>
    <x v="97"/>
    <s v="06953-94794-FB"/>
    <s v="A-M-0.5"/>
    <n v="4"/>
    <x v="101"/>
    <s v=""/>
    <x v="0"/>
    <x v="2"/>
    <x v="0"/>
    <x v="1"/>
    <n v="6.75"/>
    <n v="27"/>
    <x v="2"/>
    <s v="Medium"/>
    <x v="1"/>
  </r>
  <r>
    <s v="AKV-93064-769"/>
    <x v="98"/>
    <s v="22305-40299-CY"/>
    <s v="L-D-0.5"/>
    <n v="1"/>
    <x v="102"/>
    <s v="tsheryn31@mtv.com"/>
    <x v="0"/>
    <x v="3"/>
    <x v="2"/>
    <x v="1"/>
    <n v="7.77"/>
    <n v="7.77"/>
    <x v="3"/>
    <s v="Dark"/>
    <x v="0"/>
  </r>
  <r>
    <s v="BRB-40903-533"/>
    <x v="99"/>
    <s v="09020-56774-GU"/>
    <s v="E-L-0.2"/>
    <n v="3"/>
    <x v="103"/>
    <s v="mredgrave32@cargocollective.com"/>
    <x v="0"/>
    <x v="1"/>
    <x v="1"/>
    <x v="3"/>
    <n v="4.4550000000000001"/>
    <n v="13.365"/>
    <x v="1"/>
    <s v="Light"/>
    <x v="0"/>
  </r>
  <r>
    <s v="GPR-19973-483"/>
    <x v="100"/>
    <s v="92926-08470-YS"/>
    <s v="R-D-0.5"/>
    <n v="5"/>
    <x v="104"/>
    <s v="bfominov33@yale.edu"/>
    <x v="0"/>
    <x v="0"/>
    <x v="2"/>
    <x v="1"/>
    <n v="5.3699999999999992"/>
    <n v="26.849999999999994"/>
    <x v="0"/>
    <s v="Dark"/>
    <x v="1"/>
  </r>
  <r>
    <s v="XIY-43041-882"/>
    <x v="101"/>
    <s v="07250-63194-JO"/>
    <s v="A-M-1"/>
    <n v="1"/>
    <x v="105"/>
    <s v="scritchlow34@un.org"/>
    <x v="0"/>
    <x v="2"/>
    <x v="0"/>
    <x v="0"/>
    <n v="11.25"/>
    <n v="11.25"/>
    <x v="2"/>
    <s v="Medium"/>
    <x v="1"/>
  </r>
  <r>
    <s v="YGY-98425-969"/>
    <x v="102"/>
    <s v="63787-96257-TQ"/>
    <s v="L-M-1"/>
    <n v="1"/>
    <x v="106"/>
    <s v="msteptow35@earthlink.net"/>
    <x v="1"/>
    <x v="3"/>
    <x v="0"/>
    <x v="0"/>
    <n v="14.55"/>
    <n v="14.55"/>
    <x v="3"/>
    <s v="Medium"/>
    <x v="1"/>
  </r>
  <r>
    <s v="MSB-08397-648"/>
    <x v="103"/>
    <s v="49530-25460-RW"/>
    <s v="R-L-0.2"/>
    <n v="4"/>
    <x v="107"/>
    <s v=""/>
    <x v="0"/>
    <x v="0"/>
    <x v="1"/>
    <x v="3"/>
    <n v="3.5849999999999995"/>
    <n v="14.339999999999998"/>
    <x v="0"/>
    <s v="Light"/>
    <x v="1"/>
  </r>
  <r>
    <s v="WDR-06028-345"/>
    <x v="104"/>
    <s v="66508-21373-OQ"/>
    <s v="L-L-1"/>
    <n v="1"/>
    <x v="108"/>
    <s v="imulliner37@pinterest.com"/>
    <x v="2"/>
    <x v="3"/>
    <x v="1"/>
    <x v="0"/>
    <n v="15.85"/>
    <n v="15.85"/>
    <x v="3"/>
    <s v="Light"/>
    <x v="1"/>
  </r>
  <r>
    <s v="MXM-42948-061"/>
    <x v="105"/>
    <s v="20203-03950-FY"/>
    <s v="L-L-0.2"/>
    <n v="4"/>
    <x v="109"/>
    <s v="gstandley38@dion.ne.jp"/>
    <x v="1"/>
    <x v="3"/>
    <x v="1"/>
    <x v="3"/>
    <n v="4.7549999999999999"/>
    <n v="19.02"/>
    <x v="3"/>
    <s v="Light"/>
    <x v="0"/>
  </r>
  <r>
    <s v="MGQ-98961-173"/>
    <x v="11"/>
    <s v="83895-90735-XH"/>
    <s v="L-L-0.5"/>
    <n v="4"/>
    <x v="110"/>
    <s v="bdrage39@youku.com"/>
    <x v="0"/>
    <x v="3"/>
    <x v="1"/>
    <x v="1"/>
    <n v="9.51"/>
    <n v="38.04"/>
    <x v="3"/>
    <s v="Light"/>
    <x v="1"/>
  </r>
  <r>
    <s v="RFH-64349-897"/>
    <x v="106"/>
    <s v="61954-61462-RJ"/>
    <s v="E-D-0.5"/>
    <n v="3"/>
    <x v="111"/>
    <s v="myallop3a@fema.gov"/>
    <x v="0"/>
    <x v="1"/>
    <x v="2"/>
    <x v="1"/>
    <n v="7.29"/>
    <n v="21.87"/>
    <x v="1"/>
    <s v="Dark"/>
    <x v="0"/>
  </r>
  <r>
    <s v="TKL-20738-660"/>
    <x v="107"/>
    <s v="47939-53158-LS"/>
    <s v="E-M-0.2"/>
    <n v="1"/>
    <x v="112"/>
    <s v="cswitsur3b@chronoengine.com"/>
    <x v="0"/>
    <x v="1"/>
    <x v="0"/>
    <x v="3"/>
    <n v="4.125"/>
    <n v="4.125"/>
    <x v="1"/>
    <s v="Medium"/>
    <x v="1"/>
  </r>
  <r>
    <s v="TKL-20738-660"/>
    <x v="107"/>
    <s v="47939-53158-LS"/>
    <s v="A-L-0.2"/>
    <n v="1"/>
    <x v="112"/>
    <s v="cswitsur3b@chronoengine.com"/>
    <x v="0"/>
    <x v="2"/>
    <x v="1"/>
    <x v="3"/>
    <n v="3.8849999999999998"/>
    <n v="3.8849999999999998"/>
    <x v="2"/>
    <s v="Light"/>
    <x v="1"/>
  </r>
  <r>
    <s v="TKL-20738-660"/>
    <x v="107"/>
    <s v="47939-53158-LS"/>
    <s v="E-M-1"/>
    <n v="5"/>
    <x v="112"/>
    <s v="cswitsur3b@chronoengine.com"/>
    <x v="0"/>
    <x v="1"/>
    <x v="0"/>
    <x v="0"/>
    <n v="13.75"/>
    <n v="68.75"/>
    <x v="1"/>
    <s v="Medium"/>
    <x v="1"/>
  </r>
  <r>
    <s v="GOW-03198-575"/>
    <x v="108"/>
    <s v="61513-27752-FA"/>
    <s v="A-D-0.5"/>
    <n v="4"/>
    <x v="113"/>
    <s v="mludwell3e@blogger.com"/>
    <x v="0"/>
    <x v="2"/>
    <x v="2"/>
    <x v="1"/>
    <n v="5.97"/>
    <n v="23.88"/>
    <x v="2"/>
    <s v="Dark"/>
    <x v="0"/>
  </r>
  <r>
    <s v="QJB-90477-635"/>
    <x v="109"/>
    <s v="89714-19856-WX"/>
    <s v="L-L-2.5"/>
    <n v="4"/>
    <x v="114"/>
    <s v="dbeauchamp3f@usda.gov"/>
    <x v="0"/>
    <x v="3"/>
    <x v="1"/>
    <x v="2"/>
    <n v="36.454999999999998"/>
    <n v="145.82"/>
    <x v="3"/>
    <s v="Light"/>
    <x v="1"/>
  </r>
  <r>
    <s v="MWP-46239-785"/>
    <x v="110"/>
    <s v="87979-56781-YV"/>
    <s v="L-M-0.2"/>
    <n v="5"/>
    <x v="115"/>
    <s v="srodliff3g@ted.com"/>
    <x v="0"/>
    <x v="3"/>
    <x v="0"/>
    <x v="3"/>
    <n v="4.3650000000000002"/>
    <n v="21.825000000000003"/>
    <x v="3"/>
    <s v="Medium"/>
    <x v="0"/>
  </r>
  <r>
    <s v="QDV-03406-248"/>
    <x v="111"/>
    <s v="74126-88836-KA"/>
    <s v="L-M-0.5"/>
    <n v="3"/>
    <x v="116"/>
    <s v="swoodham3h@businesswire.com"/>
    <x v="1"/>
    <x v="3"/>
    <x v="0"/>
    <x v="1"/>
    <n v="8.73"/>
    <n v="26.19"/>
    <x v="3"/>
    <s v="Medium"/>
    <x v="0"/>
  </r>
  <r>
    <s v="GPH-40635-105"/>
    <x v="112"/>
    <s v="37397-05992-VO"/>
    <s v="A-M-1"/>
    <n v="1"/>
    <x v="117"/>
    <s v="hsynnot3i@about.com"/>
    <x v="0"/>
    <x v="2"/>
    <x v="0"/>
    <x v="0"/>
    <n v="11.25"/>
    <n v="11.25"/>
    <x v="2"/>
    <s v="Medium"/>
    <x v="1"/>
  </r>
  <r>
    <s v="JOM-80930-071"/>
    <x v="113"/>
    <s v="54904-18397-UD"/>
    <s v="L-D-1"/>
    <n v="6"/>
    <x v="118"/>
    <s v="rlepere3j@shop-pro.jp"/>
    <x v="1"/>
    <x v="3"/>
    <x v="2"/>
    <x v="0"/>
    <n v="12.95"/>
    <n v="77.699999999999989"/>
    <x v="3"/>
    <s v="Dark"/>
    <x v="1"/>
  </r>
  <r>
    <s v="OIL-26493-755"/>
    <x v="114"/>
    <s v="19017-95853-EK"/>
    <s v="A-M-0.5"/>
    <n v="1"/>
    <x v="119"/>
    <s v="twoofinden3k@businesswire.com"/>
    <x v="0"/>
    <x v="2"/>
    <x v="0"/>
    <x v="1"/>
    <n v="6.75"/>
    <n v="6.75"/>
    <x v="2"/>
    <s v="Medium"/>
    <x v="1"/>
  </r>
  <r>
    <s v="CYV-13426-645"/>
    <x v="115"/>
    <s v="88593-59934-VU"/>
    <s v="E-D-1"/>
    <n v="1"/>
    <x v="120"/>
    <s v="edacca3l@google.pl"/>
    <x v="0"/>
    <x v="1"/>
    <x v="2"/>
    <x v="0"/>
    <n v="12.15"/>
    <n v="12.15"/>
    <x v="1"/>
    <s v="Dark"/>
    <x v="0"/>
  </r>
  <r>
    <s v="WRP-39846-614"/>
    <x v="49"/>
    <s v="47493-68564-YM"/>
    <s v="A-L-2.5"/>
    <n v="5"/>
    <x v="121"/>
    <s v=""/>
    <x v="1"/>
    <x v="2"/>
    <x v="1"/>
    <x v="2"/>
    <n v="29.784999999999997"/>
    <n v="148.92499999999998"/>
    <x v="2"/>
    <s v="Light"/>
    <x v="0"/>
  </r>
  <r>
    <s v="VDZ-76673-968"/>
    <x v="116"/>
    <s v="82246-82543-DW"/>
    <s v="E-D-0.5"/>
    <n v="2"/>
    <x v="122"/>
    <s v="bhindsberg3n@blogs.com"/>
    <x v="0"/>
    <x v="1"/>
    <x v="2"/>
    <x v="1"/>
    <n v="7.29"/>
    <n v="14.58"/>
    <x v="1"/>
    <s v="Dark"/>
    <x v="0"/>
  </r>
  <r>
    <s v="VTV-03546-175"/>
    <x v="117"/>
    <s v="03384-62101-IY"/>
    <s v="A-L-2.5"/>
    <n v="5"/>
    <x v="123"/>
    <s v="orobins3o@salon.com"/>
    <x v="0"/>
    <x v="2"/>
    <x v="1"/>
    <x v="2"/>
    <n v="29.784999999999997"/>
    <n v="148.92499999999998"/>
    <x v="2"/>
    <s v="Light"/>
    <x v="0"/>
  </r>
  <r>
    <s v="GHR-72274-715"/>
    <x v="118"/>
    <s v="86881-41559-OR"/>
    <s v="L-D-1"/>
    <n v="1"/>
    <x v="124"/>
    <s v="osyseland3p@independent.co.uk"/>
    <x v="0"/>
    <x v="3"/>
    <x v="2"/>
    <x v="0"/>
    <n v="12.95"/>
    <n v="12.95"/>
    <x v="3"/>
    <s v="Dark"/>
    <x v="1"/>
  </r>
  <r>
    <s v="ZGK-97262-313"/>
    <x v="119"/>
    <s v="02536-18494-AQ"/>
    <s v="E-M-2.5"/>
    <n v="3"/>
    <x v="125"/>
    <s v=""/>
    <x v="0"/>
    <x v="1"/>
    <x v="0"/>
    <x v="2"/>
    <n v="31.624999999999996"/>
    <n v="94.874999999999986"/>
    <x v="1"/>
    <s v="Medium"/>
    <x v="0"/>
  </r>
  <r>
    <s v="ZFS-30776-804"/>
    <x v="120"/>
    <s v="58638-01029-CB"/>
    <s v="A-L-0.5"/>
    <n v="5"/>
    <x v="126"/>
    <s v="bmcamish2e@tripadvisor.com"/>
    <x v="0"/>
    <x v="2"/>
    <x v="1"/>
    <x v="1"/>
    <n v="7.77"/>
    <n v="38.849999999999994"/>
    <x v="2"/>
    <s v="Light"/>
    <x v="0"/>
  </r>
  <r>
    <s v="QUU-91729-492"/>
    <x v="121"/>
    <s v="90312-11148-LA"/>
    <s v="A-D-0.2"/>
    <n v="4"/>
    <x v="127"/>
    <s v="lkeenleyside3s@topsy.com"/>
    <x v="0"/>
    <x v="2"/>
    <x v="2"/>
    <x v="3"/>
    <n v="2.9849999999999999"/>
    <n v="11.94"/>
    <x v="2"/>
    <s v="Dark"/>
    <x v="1"/>
  </r>
  <r>
    <s v="PVI-72795-960"/>
    <x v="122"/>
    <s v="68239-74809-TF"/>
    <s v="E-L-2.5"/>
    <n v="3"/>
    <x v="128"/>
    <s v=""/>
    <x v="1"/>
    <x v="1"/>
    <x v="1"/>
    <x v="2"/>
    <n v="34.154999999999994"/>
    <n v="102.46499999999997"/>
    <x v="1"/>
    <s v="Light"/>
    <x v="1"/>
  </r>
  <r>
    <s v="PPP-78935-365"/>
    <x v="123"/>
    <s v="91074-60023-IP"/>
    <s v="E-D-1"/>
    <n v="4"/>
    <x v="129"/>
    <s v=""/>
    <x v="0"/>
    <x v="1"/>
    <x v="2"/>
    <x v="0"/>
    <n v="12.15"/>
    <n v="48.6"/>
    <x v="1"/>
    <s v="Dark"/>
    <x v="1"/>
  </r>
  <r>
    <s v="JUO-34131-517"/>
    <x v="124"/>
    <s v="07972-83748-JI"/>
    <s v="L-D-1"/>
    <n v="6"/>
    <x v="130"/>
    <s v=""/>
    <x v="0"/>
    <x v="3"/>
    <x v="2"/>
    <x v="0"/>
    <n v="12.95"/>
    <n v="77.699999999999989"/>
    <x v="3"/>
    <s v="Dark"/>
    <x v="0"/>
  </r>
  <r>
    <s v="ZJE-89333-489"/>
    <x v="125"/>
    <s v="08694-57330-XR"/>
    <s v="L-D-2.5"/>
    <n v="1"/>
    <x v="131"/>
    <s v="vkundt3w@bigcartel.com"/>
    <x v="1"/>
    <x v="3"/>
    <x v="2"/>
    <x v="2"/>
    <n v="29.784999999999997"/>
    <n v="29.784999999999997"/>
    <x v="3"/>
    <s v="Dark"/>
    <x v="0"/>
  </r>
  <r>
    <s v="LOO-35324-159"/>
    <x v="126"/>
    <s v="68412-11126-YJ"/>
    <s v="A-L-0.2"/>
    <n v="4"/>
    <x v="132"/>
    <s v="bbett3x@google.de"/>
    <x v="0"/>
    <x v="2"/>
    <x v="1"/>
    <x v="3"/>
    <n v="3.8849999999999998"/>
    <n v="15.54"/>
    <x v="2"/>
    <s v="Light"/>
    <x v="0"/>
  </r>
  <r>
    <s v="JBQ-93412-846"/>
    <x v="127"/>
    <s v="69037-66822-DW"/>
    <s v="E-L-2.5"/>
    <n v="4"/>
    <x v="133"/>
    <s v=""/>
    <x v="1"/>
    <x v="1"/>
    <x v="1"/>
    <x v="2"/>
    <n v="34.154999999999994"/>
    <n v="136.61999999999998"/>
    <x v="1"/>
    <s v="Light"/>
    <x v="0"/>
  </r>
  <r>
    <s v="EHX-66333-637"/>
    <x v="128"/>
    <s v="01297-94364-XH"/>
    <s v="L-M-0.5"/>
    <n v="2"/>
    <x v="134"/>
    <s v="dstaite3z@scientificamerican.com"/>
    <x v="0"/>
    <x v="3"/>
    <x v="0"/>
    <x v="1"/>
    <n v="8.73"/>
    <n v="17.46"/>
    <x v="3"/>
    <s v="Medium"/>
    <x v="1"/>
  </r>
  <r>
    <s v="WXG-25759-236"/>
    <x v="103"/>
    <s v="39919-06540-ZI"/>
    <s v="E-L-2.5"/>
    <n v="2"/>
    <x v="135"/>
    <s v="wkeyse40@apple.com"/>
    <x v="0"/>
    <x v="1"/>
    <x v="1"/>
    <x v="2"/>
    <n v="34.154999999999994"/>
    <n v="68.309999999999988"/>
    <x v="1"/>
    <s v="Light"/>
    <x v="0"/>
  </r>
  <r>
    <s v="QNA-31113-984"/>
    <x v="129"/>
    <s v="60512-78550-WS"/>
    <s v="L-M-0.2"/>
    <n v="4"/>
    <x v="136"/>
    <s v="oclausenthue41@marriott.com"/>
    <x v="0"/>
    <x v="3"/>
    <x v="0"/>
    <x v="3"/>
    <n v="4.3650000000000002"/>
    <n v="17.46"/>
    <x v="3"/>
    <s v="Medium"/>
    <x v="1"/>
  </r>
  <r>
    <s v="ZWI-52029-159"/>
    <x v="130"/>
    <s v="40172-12000-AU"/>
    <s v="L-M-1"/>
    <n v="3"/>
    <x v="137"/>
    <s v="lfrancisco42@fema.gov"/>
    <x v="0"/>
    <x v="3"/>
    <x v="0"/>
    <x v="0"/>
    <n v="14.55"/>
    <n v="43.650000000000006"/>
    <x v="3"/>
    <s v="Medium"/>
    <x v="1"/>
  </r>
  <r>
    <s v="ZWI-52029-159"/>
    <x v="130"/>
    <s v="40172-12000-AU"/>
    <s v="E-M-1"/>
    <n v="2"/>
    <x v="137"/>
    <s v="lfrancisco42@fema.gov"/>
    <x v="0"/>
    <x v="1"/>
    <x v="0"/>
    <x v="0"/>
    <n v="13.75"/>
    <n v="27.5"/>
    <x v="1"/>
    <s v="Medium"/>
    <x v="1"/>
  </r>
  <r>
    <s v="DFS-49954-707"/>
    <x v="131"/>
    <s v="39019-13649-CL"/>
    <s v="E-D-0.2"/>
    <n v="5"/>
    <x v="138"/>
    <s v="gskingle44@clickbank.net"/>
    <x v="0"/>
    <x v="1"/>
    <x v="2"/>
    <x v="3"/>
    <n v="3.645"/>
    <n v="18.225000000000001"/>
    <x v="1"/>
    <s v="Dark"/>
    <x v="0"/>
  </r>
  <r>
    <s v="VYP-89830-878"/>
    <x v="132"/>
    <s v="12715-05198-QU"/>
    <s v="A-M-2.5"/>
    <n v="2"/>
    <x v="139"/>
    <s v=""/>
    <x v="0"/>
    <x v="2"/>
    <x v="0"/>
    <x v="2"/>
    <n v="25.874999999999996"/>
    <n v="51.749999999999993"/>
    <x v="2"/>
    <s v="Medium"/>
    <x v="0"/>
  </r>
  <r>
    <s v="AMT-40418-362"/>
    <x v="133"/>
    <s v="04513-76520-QO"/>
    <s v="L-D-1"/>
    <n v="1"/>
    <x v="140"/>
    <s v="jbalsillie46@princeton.edu"/>
    <x v="0"/>
    <x v="3"/>
    <x v="2"/>
    <x v="0"/>
    <n v="12.95"/>
    <n v="12.95"/>
    <x v="3"/>
    <s v="Dark"/>
    <x v="0"/>
  </r>
  <r>
    <s v="NFQ-23241-793"/>
    <x v="134"/>
    <s v="88446-59251-SQ"/>
    <s v="A-M-1"/>
    <n v="3"/>
    <x v="141"/>
    <s v=""/>
    <x v="0"/>
    <x v="2"/>
    <x v="0"/>
    <x v="0"/>
    <n v="11.25"/>
    <n v="33.75"/>
    <x v="2"/>
    <s v="Medium"/>
    <x v="0"/>
  </r>
  <r>
    <s v="JQK-64922-985"/>
    <x v="113"/>
    <s v="23779-10274-KN"/>
    <s v="R-M-2.5"/>
    <n v="3"/>
    <x v="142"/>
    <s v="bleffek48@ning.com"/>
    <x v="0"/>
    <x v="0"/>
    <x v="0"/>
    <x v="2"/>
    <n v="22.884999999999998"/>
    <n v="68.655000000000001"/>
    <x v="0"/>
    <s v="Medium"/>
    <x v="0"/>
  </r>
  <r>
    <s v="YET-17732-678"/>
    <x v="135"/>
    <s v="57235-92842-DK"/>
    <s v="R-D-0.2"/>
    <n v="1"/>
    <x v="143"/>
    <s v=""/>
    <x v="0"/>
    <x v="0"/>
    <x v="2"/>
    <x v="3"/>
    <n v="2.6849999999999996"/>
    <n v="2.6849999999999996"/>
    <x v="0"/>
    <s v="Dark"/>
    <x v="1"/>
  </r>
  <r>
    <s v="NKW-24945-846"/>
    <x v="35"/>
    <s v="75977-30364-AY"/>
    <s v="A-D-2.5"/>
    <n v="5"/>
    <x v="144"/>
    <s v="jpray4a@youtube.com"/>
    <x v="0"/>
    <x v="2"/>
    <x v="2"/>
    <x v="2"/>
    <n v="22.884999999999998"/>
    <n v="114.42499999999998"/>
    <x v="2"/>
    <s v="Dark"/>
    <x v="1"/>
  </r>
  <r>
    <s v="VKA-82720-513"/>
    <x v="136"/>
    <s v="12299-30914-NG"/>
    <s v="A-M-2.5"/>
    <n v="6"/>
    <x v="145"/>
    <s v="gholborn4b@ow.ly"/>
    <x v="0"/>
    <x v="2"/>
    <x v="0"/>
    <x v="2"/>
    <n v="25.874999999999996"/>
    <n v="155.24999999999997"/>
    <x v="2"/>
    <s v="Medium"/>
    <x v="0"/>
  </r>
  <r>
    <s v="THA-60599-417"/>
    <x v="137"/>
    <s v="59971-35626-YJ"/>
    <s v="A-M-2.5"/>
    <n v="3"/>
    <x v="146"/>
    <s v="fkeinrat4c@dailymail.co.uk"/>
    <x v="0"/>
    <x v="2"/>
    <x v="0"/>
    <x v="2"/>
    <n v="25.874999999999996"/>
    <n v="77.624999999999986"/>
    <x v="2"/>
    <s v="Medium"/>
    <x v="0"/>
  </r>
  <r>
    <s v="MEK-39769-035"/>
    <x v="138"/>
    <s v="15380-76513-PS"/>
    <s v="R-D-2.5"/>
    <n v="3"/>
    <x v="147"/>
    <s v="pyea4d@aol.com"/>
    <x v="1"/>
    <x v="0"/>
    <x v="2"/>
    <x v="2"/>
    <n v="20.584999999999997"/>
    <n v="61.754999999999995"/>
    <x v="0"/>
    <s v="Dark"/>
    <x v="1"/>
  </r>
  <r>
    <s v="JAF-18294-750"/>
    <x v="139"/>
    <s v="73564-98204-EY"/>
    <s v="R-D-2.5"/>
    <n v="6"/>
    <x v="148"/>
    <s v=""/>
    <x v="0"/>
    <x v="0"/>
    <x v="2"/>
    <x v="2"/>
    <n v="20.584999999999997"/>
    <n v="123.50999999999999"/>
    <x v="0"/>
    <s v="Dark"/>
    <x v="0"/>
  </r>
  <r>
    <s v="TME-59627-221"/>
    <x v="140"/>
    <s v="72282-40594-RX"/>
    <s v="L-L-2.5"/>
    <n v="6"/>
    <x v="149"/>
    <s v=""/>
    <x v="0"/>
    <x v="3"/>
    <x v="1"/>
    <x v="2"/>
    <n v="36.454999999999998"/>
    <n v="218.73"/>
    <x v="3"/>
    <s v="Light"/>
    <x v="1"/>
  </r>
  <r>
    <s v="UDG-65353-824"/>
    <x v="141"/>
    <s v="17514-94165-RJ"/>
    <s v="E-M-0.5"/>
    <n v="4"/>
    <x v="150"/>
    <s v="kswede4g@addthis.com"/>
    <x v="0"/>
    <x v="1"/>
    <x v="0"/>
    <x v="1"/>
    <n v="8.25"/>
    <n v="33"/>
    <x v="1"/>
    <s v="Medium"/>
    <x v="1"/>
  </r>
  <r>
    <s v="ENQ-42923-176"/>
    <x v="142"/>
    <s v="56248-75861-JX"/>
    <s v="A-L-0.5"/>
    <n v="3"/>
    <x v="151"/>
    <s v="lrubrow4h@microsoft.com"/>
    <x v="0"/>
    <x v="2"/>
    <x v="1"/>
    <x v="1"/>
    <n v="7.77"/>
    <n v="23.31"/>
    <x v="2"/>
    <s v="Light"/>
    <x v="1"/>
  </r>
  <r>
    <s v="CBT-55781-720"/>
    <x v="143"/>
    <s v="97855-54761-IS"/>
    <s v="E-D-0.5"/>
    <n v="3"/>
    <x v="152"/>
    <s v="dtift4i@netvibes.com"/>
    <x v="0"/>
    <x v="1"/>
    <x v="2"/>
    <x v="1"/>
    <n v="7.29"/>
    <n v="21.87"/>
    <x v="1"/>
    <s v="Dark"/>
    <x v="0"/>
  </r>
  <r>
    <s v="NEU-86533-016"/>
    <x v="144"/>
    <s v="96544-91644-IT"/>
    <s v="R-D-0.2"/>
    <n v="6"/>
    <x v="153"/>
    <s v="gschonfeld4j@oracle.com"/>
    <x v="0"/>
    <x v="0"/>
    <x v="2"/>
    <x v="3"/>
    <n v="2.6849999999999996"/>
    <n v="16.11"/>
    <x v="0"/>
    <s v="Dark"/>
    <x v="1"/>
  </r>
  <r>
    <s v="BYU-58154-603"/>
    <x v="145"/>
    <s v="51971-70393-QM"/>
    <s v="E-D-0.5"/>
    <n v="4"/>
    <x v="154"/>
    <s v="cfeye4k@google.co.jp"/>
    <x v="1"/>
    <x v="1"/>
    <x v="2"/>
    <x v="1"/>
    <n v="7.29"/>
    <n v="29.16"/>
    <x v="1"/>
    <s v="Dark"/>
    <x v="1"/>
  </r>
  <r>
    <s v="EHJ-05910-257"/>
    <x v="146"/>
    <s v="06812-11924-IK"/>
    <s v="R-D-1"/>
    <n v="6"/>
    <x v="155"/>
    <s v=""/>
    <x v="0"/>
    <x v="0"/>
    <x v="2"/>
    <x v="0"/>
    <n v="8.9499999999999993"/>
    <n v="53.699999999999996"/>
    <x v="0"/>
    <s v="Dark"/>
    <x v="0"/>
  </r>
  <r>
    <s v="EIL-44855-309"/>
    <x v="147"/>
    <s v="59741-90220-OW"/>
    <s v="R-D-0.5"/>
    <n v="5"/>
    <x v="156"/>
    <s v=""/>
    <x v="0"/>
    <x v="0"/>
    <x v="2"/>
    <x v="1"/>
    <n v="5.3699999999999992"/>
    <n v="26.849999999999994"/>
    <x v="0"/>
    <s v="Dark"/>
    <x v="0"/>
  </r>
  <r>
    <s v="HCA-87224-420"/>
    <x v="148"/>
    <s v="62682-27930-PD"/>
    <s v="E-M-0.5"/>
    <n v="5"/>
    <x v="157"/>
    <s v="tfero4n@comsenz.com"/>
    <x v="0"/>
    <x v="1"/>
    <x v="0"/>
    <x v="1"/>
    <n v="8.25"/>
    <n v="41.25"/>
    <x v="1"/>
    <s v="Medium"/>
    <x v="0"/>
  </r>
  <r>
    <s v="ABO-29054-365"/>
    <x v="149"/>
    <s v="00256-19905-YG"/>
    <s v="A-M-0.5"/>
    <n v="6"/>
    <x v="158"/>
    <s v=""/>
    <x v="1"/>
    <x v="2"/>
    <x v="0"/>
    <x v="1"/>
    <n v="6.75"/>
    <n v="40.5"/>
    <x v="2"/>
    <s v="Medium"/>
    <x v="1"/>
  </r>
  <r>
    <s v="TKN-58485-031"/>
    <x v="150"/>
    <s v="38890-22576-UI"/>
    <s v="R-D-1"/>
    <n v="2"/>
    <x v="159"/>
    <s v="fdauney4p@sphinn.com"/>
    <x v="1"/>
    <x v="0"/>
    <x v="2"/>
    <x v="0"/>
    <n v="8.9499999999999993"/>
    <n v="17.899999999999999"/>
    <x v="0"/>
    <s v="Dark"/>
    <x v="1"/>
  </r>
  <r>
    <s v="RCK-04069-371"/>
    <x v="151"/>
    <s v="94573-61802-PH"/>
    <s v="E-L-2.5"/>
    <n v="2"/>
    <x v="160"/>
    <s v="searley4q@youku.com"/>
    <x v="2"/>
    <x v="1"/>
    <x v="1"/>
    <x v="2"/>
    <n v="34.154999999999994"/>
    <n v="68.309999999999988"/>
    <x v="1"/>
    <s v="Light"/>
    <x v="1"/>
  </r>
  <r>
    <s v="IRJ-67095-738"/>
    <x v="13"/>
    <s v="86447-02699-UT"/>
    <s v="E-M-2.5"/>
    <n v="2"/>
    <x v="161"/>
    <s v="mchamberlayne4r@bigcartel.com"/>
    <x v="0"/>
    <x v="1"/>
    <x v="0"/>
    <x v="2"/>
    <n v="31.624999999999996"/>
    <n v="63.249999999999993"/>
    <x v="1"/>
    <s v="Medium"/>
    <x v="0"/>
  </r>
  <r>
    <s v="VEA-31961-977"/>
    <x v="79"/>
    <s v="51432-27169-KN"/>
    <s v="E-D-0.5"/>
    <n v="3"/>
    <x v="162"/>
    <s v="bflaherty4s@moonfruit.com"/>
    <x v="1"/>
    <x v="1"/>
    <x v="2"/>
    <x v="1"/>
    <n v="7.29"/>
    <n v="21.87"/>
    <x v="1"/>
    <s v="Dark"/>
    <x v="1"/>
  </r>
  <r>
    <s v="BAF-42286-205"/>
    <x v="152"/>
    <s v="43074-00987-PB"/>
    <s v="R-M-2.5"/>
    <n v="4"/>
    <x v="163"/>
    <s v="ocolbeck4t@sina.com.cn"/>
    <x v="0"/>
    <x v="0"/>
    <x v="0"/>
    <x v="2"/>
    <n v="22.884999999999998"/>
    <n v="91.539999999999992"/>
    <x v="0"/>
    <s v="Medium"/>
    <x v="1"/>
  </r>
  <r>
    <s v="WOR-52762-511"/>
    <x v="153"/>
    <s v="04739-85772-QT"/>
    <s v="E-L-2.5"/>
    <n v="6"/>
    <x v="164"/>
    <s v=""/>
    <x v="0"/>
    <x v="1"/>
    <x v="1"/>
    <x v="2"/>
    <n v="34.154999999999994"/>
    <n v="204.92999999999995"/>
    <x v="1"/>
    <s v="Light"/>
    <x v="0"/>
  </r>
  <r>
    <s v="ZWK-03995-815"/>
    <x v="154"/>
    <s v="28279-78469-YW"/>
    <s v="E-M-2.5"/>
    <n v="2"/>
    <x v="165"/>
    <s v="ehobbing4v@nsw.gov.au"/>
    <x v="0"/>
    <x v="1"/>
    <x v="0"/>
    <x v="2"/>
    <n v="31.624999999999996"/>
    <n v="63.249999999999993"/>
    <x v="1"/>
    <s v="Medium"/>
    <x v="0"/>
  </r>
  <r>
    <s v="CKF-43291-846"/>
    <x v="155"/>
    <s v="91829-99544-DS"/>
    <s v="E-L-2.5"/>
    <n v="1"/>
    <x v="166"/>
    <s v="othynne4w@auda.org.au"/>
    <x v="0"/>
    <x v="1"/>
    <x v="1"/>
    <x v="2"/>
    <n v="34.154999999999994"/>
    <n v="34.154999999999994"/>
    <x v="1"/>
    <s v="Light"/>
    <x v="0"/>
  </r>
  <r>
    <s v="RMW-74160-339"/>
    <x v="156"/>
    <s v="38978-59582-JP"/>
    <s v="R-L-2.5"/>
    <n v="4"/>
    <x v="167"/>
    <s v="eheining4x@flickr.com"/>
    <x v="0"/>
    <x v="0"/>
    <x v="1"/>
    <x v="2"/>
    <n v="27.484999999999996"/>
    <n v="109.93999999999998"/>
    <x v="0"/>
    <s v="Light"/>
    <x v="0"/>
  </r>
  <r>
    <s v="FMT-94584-786"/>
    <x v="22"/>
    <s v="86504-96610-BH"/>
    <s v="A-L-1"/>
    <n v="2"/>
    <x v="168"/>
    <s v="kmelloi4y@imdb.com"/>
    <x v="0"/>
    <x v="2"/>
    <x v="1"/>
    <x v="0"/>
    <n v="12.95"/>
    <n v="25.9"/>
    <x v="2"/>
    <s v="Light"/>
    <x v="1"/>
  </r>
  <r>
    <s v="NWT-78222-575"/>
    <x v="157"/>
    <s v="75986-98864-EZ"/>
    <s v="A-D-0.2"/>
    <n v="1"/>
    <x v="169"/>
    <s v=""/>
    <x v="1"/>
    <x v="2"/>
    <x v="2"/>
    <x v="3"/>
    <n v="2.9849999999999999"/>
    <n v="2.9849999999999999"/>
    <x v="2"/>
    <s v="Dark"/>
    <x v="1"/>
  </r>
  <r>
    <s v="EOI-02511-919"/>
    <x v="158"/>
    <s v="66776-88682-RG"/>
    <s v="E-L-0.2"/>
    <n v="5"/>
    <x v="170"/>
    <s v="amussen50@51.la"/>
    <x v="0"/>
    <x v="1"/>
    <x v="1"/>
    <x v="3"/>
    <n v="4.4550000000000001"/>
    <n v="22.274999999999999"/>
    <x v="1"/>
    <s v="Light"/>
    <x v="1"/>
  </r>
  <r>
    <s v="EOI-02511-919"/>
    <x v="158"/>
    <s v="66776-88682-RG"/>
    <s v="A-D-0.5"/>
    <n v="5"/>
    <x v="170"/>
    <s v="amussen50@51.la"/>
    <x v="0"/>
    <x v="2"/>
    <x v="2"/>
    <x v="1"/>
    <n v="5.97"/>
    <n v="29.849999999999998"/>
    <x v="2"/>
    <s v="Dark"/>
    <x v="1"/>
  </r>
  <r>
    <s v="UCT-03935-589"/>
    <x v="78"/>
    <s v="85851-78384-DM"/>
    <s v="R-D-0.5"/>
    <n v="6"/>
    <x v="171"/>
    <s v="amundford52@nbcnews.com"/>
    <x v="0"/>
    <x v="0"/>
    <x v="2"/>
    <x v="1"/>
    <n v="5.3699999999999992"/>
    <n v="32.22"/>
    <x v="0"/>
    <s v="Dark"/>
    <x v="1"/>
  </r>
  <r>
    <s v="SBI-60013-494"/>
    <x v="159"/>
    <s v="55232-81621-BX"/>
    <s v="E-M-0.2"/>
    <n v="2"/>
    <x v="172"/>
    <s v="twalas53@google.ca"/>
    <x v="0"/>
    <x v="1"/>
    <x v="0"/>
    <x v="3"/>
    <n v="4.125"/>
    <n v="8.25"/>
    <x v="1"/>
    <s v="Medium"/>
    <x v="1"/>
  </r>
  <r>
    <s v="QRA-73277-814"/>
    <x v="160"/>
    <s v="80310-92912-JA"/>
    <s v="A-L-0.5"/>
    <n v="4"/>
    <x v="173"/>
    <s v="iblazewicz54@thetimes.co.uk"/>
    <x v="0"/>
    <x v="2"/>
    <x v="1"/>
    <x v="1"/>
    <n v="7.77"/>
    <n v="31.08"/>
    <x v="2"/>
    <s v="Light"/>
    <x v="1"/>
  </r>
  <r>
    <s v="EQE-31648-909"/>
    <x v="161"/>
    <s v="19821-05175-WZ"/>
    <s v="E-D-0.5"/>
    <n v="5"/>
    <x v="174"/>
    <s v="arizzetti55@naver.com"/>
    <x v="0"/>
    <x v="1"/>
    <x v="2"/>
    <x v="1"/>
    <n v="7.29"/>
    <n v="36.450000000000003"/>
    <x v="1"/>
    <s v="Dark"/>
    <x v="0"/>
  </r>
  <r>
    <s v="QOO-24615-950"/>
    <x v="162"/>
    <s v="01338-83217-GV"/>
    <s v="R-M-2.5"/>
    <n v="3"/>
    <x v="175"/>
    <s v="mmeriet56@noaa.gov"/>
    <x v="0"/>
    <x v="0"/>
    <x v="0"/>
    <x v="2"/>
    <n v="22.884999999999998"/>
    <n v="68.655000000000001"/>
    <x v="0"/>
    <s v="Medium"/>
    <x v="1"/>
  </r>
  <r>
    <s v="WDV-73864-037"/>
    <x v="70"/>
    <s v="66044-25298-TA"/>
    <s v="L-M-0.5"/>
    <n v="5"/>
    <x v="176"/>
    <s v="lpratt57@netvibes.com"/>
    <x v="0"/>
    <x v="3"/>
    <x v="0"/>
    <x v="1"/>
    <n v="8.73"/>
    <n v="43.650000000000006"/>
    <x v="3"/>
    <s v="Medium"/>
    <x v="0"/>
  </r>
  <r>
    <s v="PKR-88575-066"/>
    <x v="163"/>
    <s v="28728-47861-TZ"/>
    <s v="E-L-0.2"/>
    <n v="1"/>
    <x v="177"/>
    <s v="akitchingham58@com.com"/>
    <x v="0"/>
    <x v="1"/>
    <x v="1"/>
    <x v="3"/>
    <n v="4.4550000000000001"/>
    <n v="4.4550000000000001"/>
    <x v="1"/>
    <s v="Light"/>
    <x v="0"/>
  </r>
  <r>
    <s v="BWR-85735-955"/>
    <x v="153"/>
    <s v="32638-38620-AX"/>
    <s v="L-M-1"/>
    <n v="3"/>
    <x v="178"/>
    <s v="bbartholin59@xinhuanet.com"/>
    <x v="0"/>
    <x v="3"/>
    <x v="0"/>
    <x v="0"/>
    <n v="14.55"/>
    <n v="43.650000000000006"/>
    <x v="3"/>
    <s v="Medium"/>
    <x v="0"/>
  </r>
  <r>
    <s v="YFX-64795-136"/>
    <x v="164"/>
    <s v="83163-65741-IH"/>
    <s v="L-M-2.5"/>
    <n v="1"/>
    <x v="179"/>
    <s v="mprinn5a@usa.gov"/>
    <x v="0"/>
    <x v="3"/>
    <x v="0"/>
    <x v="2"/>
    <n v="33.464999999999996"/>
    <n v="33.464999999999996"/>
    <x v="3"/>
    <s v="Medium"/>
    <x v="0"/>
  </r>
  <r>
    <s v="DDO-71442-967"/>
    <x v="165"/>
    <s v="89422-58281-FD"/>
    <s v="L-D-0.2"/>
    <n v="5"/>
    <x v="180"/>
    <s v="abaudino5b@netvibes.com"/>
    <x v="0"/>
    <x v="3"/>
    <x v="2"/>
    <x v="3"/>
    <n v="3.8849999999999998"/>
    <n v="19.424999999999997"/>
    <x v="3"/>
    <s v="Dark"/>
    <x v="0"/>
  </r>
  <r>
    <s v="ILQ-11027-588"/>
    <x v="166"/>
    <s v="76293-30918-DQ"/>
    <s v="E-D-1"/>
    <n v="6"/>
    <x v="181"/>
    <s v="ppetrushanko5c@blinklist.com"/>
    <x v="1"/>
    <x v="1"/>
    <x v="2"/>
    <x v="0"/>
    <n v="12.15"/>
    <n v="72.900000000000006"/>
    <x v="1"/>
    <s v="Dark"/>
    <x v="0"/>
  </r>
  <r>
    <s v="KRZ-13868-122"/>
    <x v="167"/>
    <s v="86779-84838-EJ"/>
    <s v="E-L-1"/>
    <n v="3"/>
    <x v="182"/>
    <s v=""/>
    <x v="0"/>
    <x v="1"/>
    <x v="1"/>
    <x v="0"/>
    <n v="14.85"/>
    <n v="44.55"/>
    <x v="1"/>
    <s v="Light"/>
    <x v="1"/>
  </r>
  <r>
    <s v="VRM-93594-914"/>
    <x v="168"/>
    <s v="66806-41795-MX"/>
    <s v="E-D-0.5"/>
    <n v="5"/>
    <x v="183"/>
    <s v="elaird5e@bing.com"/>
    <x v="0"/>
    <x v="1"/>
    <x v="2"/>
    <x v="1"/>
    <n v="7.29"/>
    <n v="36.450000000000003"/>
    <x v="1"/>
    <s v="Dark"/>
    <x v="1"/>
  </r>
  <r>
    <s v="HXL-22497-359"/>
    <x v="169"/>
    <s v="64875-71224-UI"/>
    <s v="A-L-1"/>
    <n v="3"/>
    <x v="184"/>
    <s v="mhowsden5f@infoseek.co.jp"/>
    <x v="0"/>
    <x v="2"/>
    <x v="1"/>
    <x v="0"/>
    <n v="12.95"/>
    <n v="38.849999999999994"/>
    <x v="2"/>
    <s v="Light"/>
    <x v="1"/>
  </r>
  <r>
    <s v="NOP-21394-646"/>
    <x v="170"/>
    <s v="16982-35708-BZ"/>
    <s v="E-L-0.5"/>
    <n v="6"/>
    <x v="185"/>
    <s v="ncuttler5g@parallels.com"/>
    <x v="0"/>
    <x v="1"/>
    <x v="1"/>
    <x v="1"/>
    <n v="8.91"/>
    <n v="53.46"/>
    <x v="1"/>
    <s v="Light"/>
    <x v="1"/>
  </r>
  <r>
    <s v="NOP-21394-646"/>
    <x v="170"/>
    <s v="16982-35708-BZ"/>
    <s v="L-D-2.5"/>
    <n v="2"/>
    <x v="185"/>
    <s v="ncuttler5g@parallels.com"/>
    <x v="0"/>
    <x v="3"/>
    <x v="2"/>
    <x v="2"/>
    <n v="29.784999999999997"/>
    <n v="59.569999999999993"/>
    <x v="3"/>
    <s v="Dark"/>
    <x v="1"/>
  </r>
  <r>
    <s v="NOP-21394-646"/>
    <x v="170"/>
    <s v="16982-35708-BZ"/>
    <s v="L-D-2.5"/>
    <n v="3"/>
    <x v="185"/>
    <s v="ncuttler5g@parallels.com"/>
    <x v="0"/>
    <x v="3"/>
    <x v="2"/>
    <x v="2"/>
    <n v="29.784999999999997"/>
    <n v="89.35499999999999"/>
    <x v="3"/>
    <s v="Dark"/>
    <x v="1"/>
  </r>
  <r>
    <s v="NOP-21394-646"/>
    <x v="170"/>
    <s v="16982-35708-BZ"/>
    <s v="L-L-0.5"/>
    <n v="4"/>
    <x v="185"/>
    <s v="ncuttler5g@parallels.com"/>
    <x v="0"/>
    <x v="3"/>
    <x v="1"/>
    <x v="1"/>
    <n v="9.51"/>
    <n v="38.04"/>
    <x v="3"/>
    <s v="Light"/>
    <x v="1"/>
  </r>
  <r>
    <s v="NOP-21394-646"/>
    <x v="170"/>
    <s v="16982-35708-BZ"/>
    <s v="E-M-1"/>
    <n v="3"/>
    <x v="185"/>
    <s v="ncuttler5g@parallels.com"/>
    <x v="0"/>
    <x v="1"/>
    <x v="0"/>
    <x v="0"/>
    <n v="13.75"/>
    <n v="41.25"/>
    <x v="1"/>
    <s v="Medium"/>
    <x v="1"/>
  </r>
  <r>
    <s v="FTV-77095-168"/>
    <x v="171"/>
    <s v="66708-26678-QK"/>
    <s v="L-L-0.5"/>
    <n v="6"/>
    <x v="186"/>
    <s v=""/>
    <x v="0"/>
    <x v="3"/>
    <x v="1"/>
    <x v="1"/>
    <n v="9.51"/>
    <n v="57.06"/>
    <x v="3"/>
    <s v="Light"/>
    <x v="1"/>
  </r>
  <r>
    <s v="BOR-02906-411"/>
    <x v="172"/>
    <s v="08743-09057-OO"/>
    <s v="L-D-2.5"/>
    <n v="6"/>
    <x v="187"/>
    <s v="tfelip5m@typepad.com"/>
    <x v="0"/>
    <x v="3"/>
    <x v="2"/>
    <x v="2"/>
    <n v="29.784999999999997"/>
    <n v="178.70999999999998"/>
    <x v="3"/>
    <s v="Dark"/>
    <x v="0"/>
  </r>
  <r>
    <s v="WMP-68847-770"/>
    <x v="173"/>
    <s v="37490-01572-JW"/>
    <s v="L-L-0.2"/>
    <n v="1"/>
    <x v="188"/>
    <s v="vle5n@disqus.com"/>
    <x v="0"/>
    <x v="3"/>
    <x v="1"/>
    <x v="3"/>
    <n v="4.7549999999999999"/>
    <n v="4.7549999999999999"/>
    <x v="3"/>
    <s v="Light"/>
    <x v="1"/>
  </r>
  <r>
    <s v="TMO-22785-872"/>
    <x v="174"/>
    <s v="01811-60350-CU"/>
    <s v="E-M-1"/>
    <n v="6"/>
    <x v="189"/>
    <s v=""/>
    <x v="0"/>
    <x v="1"/>
    <x v="0"/>
    <x v="0"/>
    <n v="13.75"/>
    <n v="82.5"/>
    <x v="1"/>
    <s v="Medium"/>
    <x v="1"/>
  </r>
  <r>
    <s v="TJG-73587-353"/>
    <x v="175"/>
    <s v="24766-58139-GT"/>
    <s v="R-D-0.2"/>
    <n v="3"/>
    <x v="190"/>
    <s v=""/>
    <x v="0"/>
    <x v="0"/>
    <x v="2"/>
    <x v="3"/>
    <n v="2.6849999999999996"/>
    <n v="8.0549999999999997"/>
    <x v="0"/>
    <s v="Dark"/>
    <x v="0"/>
  </r>
  <r>
    <s v="OOU-61343-455"/>
    <x v="176"/>
    <s v="90123-70970-NY"/>
    <s v="A-M-1"/>
    <n v="2"/>
    <x v="191"/>
    <s v="npoolman5q@howstuffworks.com"/>
    <x v="0"/>
    <x v="2"/>
    <x v="0"/>
    <x v="0"/>
    <n v="11.25"/>
    <n v="22.5"/>
    <x v="2"/>
    <s v="Medium"/>
    <x v="1"/>
  </r>
  <r>
    <s v="RMA-08327-369"/>
    <x v="142"/>
    <s v="93809-05424-MG"/>
    <s v="A-M-0.5"/>
    <n v="6"/>
    <x v="192"/>
    <s v="oduny5r@constantcontact.com"/>
    <x v="0"/>
    <x v="2"/>
    <x v="0"/>
    <x v="1"/>
    <n v="6.75"/>
    <n v="40.5"/>
    <x v="2"/>
    <s v="Medium"/>
    <x v="0"/>
  </r>
  <r>
    <s v="SFB-97929-779"/>
    <x v="177"/>
    <s v="85425-33494-HQ"/>
    <s v="E-D-0.5"/>
    <n v="4"/>
    <x v="193"/>
    <s v="chalfhide5s@google.ru"/>
    <x v="1"/>
    <x v="1"/>
    <x v="2"/>
    <x v="1"/>
    <n v="7.29"/>
    <n v="29.16"/>
    <x v="1"/>
    <s v="Dark"/>
    <x v="0"/>
  </r>
  <r>
    <s v="AUP-10128-606"/>
    <x v="178"/>
    <s v="54387-64897-XC"/>
    <s v="A-M-0.5"/>
    <n v="1"/>
    <x v="194"/>
    <s v="fmalecky5t@list-manage.com"/>
    <x v="2"/>
    <x v="2"/>
    <x v="0"/>
    <x v="1"/>
    <n v="6.75"/>
    <n v="6.75"/>
    <x v="2"/>
    <s v="Medium"/>
    <x v="1"/>
  </r>
  <r>
    <s v="YTW-40242-005"/>
    <x v="179"/>
    <s v="01035-70465-UO"/>
    <s v="L-D-1"/>
    <n v="4"/>
    <x v="195"/>
    <s v="aattwater5u@wikia.com"/>
    <x v="0"/>
    <x v="3"/>
    <x v="2"/>
    <x v="0"/>
    <n v="12.95"/>
    <n v="51.8"/>
    <x v="3"/>
    <s v="Dark"/>
    <x v="0"/>
  </r>
  <r>
    <s v="PRP-53390-819"/>
    <x v="180"/>
    <s v="84260-39432-ML"/>
    <s v="E-L-0.5"/>
    <n v="6"/>
    <x v="196"/>
    <s v="mwhellans5v@mapquest.com"/>
    <x v="0"/>
    <x v="1"/>
    <x v="1"/>
    <x v="1"/>
    <n v="8.91"/>
    <n v="53.46"/>
    <x v="1"/>
    <s v="Light"/>
    <x v="1"/>
  </r>
  <r>
    <s v="GSJ-01065-125"/>
    <x v="181"/>
    <s v="69779-40609-RS"/>
    <s v="E-D-0.2"/>
    <n v="4"/>
    <x v="197"/>
    <s v="dcamilletti5w@businesswire.com"/>
    <x v="0"/>
    <x v="1"/>
    <x v="2"/>
    <x v="3"/>
    <n v="3.645"/>
    <n v="14.58"/>
    <x v="1"/>
    <s v="Dark"/>
    <x v="0"/>
  </r>
  <r>
    <s v="YQU-65147-580"/>
    <x v="182"/>
    <s v="80247-70000-HT"/>
    <s v="R-D-2.5"/>
    <n v="1"/>
    <x v="198"/>
    <s v="egalgey5x@wufoo.com"/>
    <x v="0"/>
    <x v="0"/>
    <x v="2"/>
    <x v="2"/>
    <n v="20.584999999999997"/>
    <n v="20.584999999999997"/>
    <x v="0"/>
    <s v="Dark"/>
    <x v="1"/>
  </r>
  <r>
    <s v="QPM-95832-683"/>
    <x v="183"/>
    <s v="35058-04550-VC"/>
    <s v="L-L-1"/>
    <n v="2"/>
    <x v="199"/>
    <s v="mhame5y@newsvine.com"/>
    <x v="1"/>
    <x v="3"/>
    <x v="1"/>
    <x v="0"/>
    <n v="15.85"/>
    <n v="31.7"/>
    <x v="3"/>
    <s v="Light"/>
    <x v="1"/>
  </r>
  <r>
    <s v="BNQ-88920-567"/>
    <x v="184"/>
    <s v="27226-53717-SY"/>
    <s v="L-D-0.2"/>
    <n v="6"/>
    <x v="200"/>
    <s v="igurnee5z@usnews.com"/>
    <x v="0"/>
    <x v="3"/>
    <x v="2"/>
    <x v="3"/>
    <n v="3.8849999999999998"/>
    <n v="23.31"/>
    <x v="3"/>
    <s v="Dark"/>
    <x v="1"/>
  </r>
  <r>
    <s v="PUX-47906-110"/>
    <x v="185"/>
    <s v="02002-98725-CH"/>
    <s v="L-M-1"/>
    <n v="4"/>
    <x v="201"/>
    <s v="asnowding60@comsenz.com"/>
    <x v="0"/>
    <x v="3"/>
    <x v="0"/>
    <x v="0"/>
    <n v="14.55"/>
    <n v="58.2"/>
    <x v="3"/>
    <s v="Medium"/>
    <x v="0"/>
  </r>
  <r>
    <s v="COL-72079-610"/>
    <x v="186"/>
    <s v="38487-01549-MV"/>
    <s v="E-L-0.5"/>
    <n v="4"/>
    <x v="202"/>
    <s v="gpoinsett61@berkeley.edu"/>
    <x v="0"/>
    <x v="1"/>
    <x v="1"/>
    <x v="1"/>
    <n v="8.91"/>
    <n v="35.64"/>
    <x v="1"/>
    <s v="Light"/>
    <x v="1"/>
  </r>
  <r>
    <s v="LBC-45686-819"/>
    <x v="187"/>
    <s v="98573-41811-EQ"/>
    <s v="A-M-1"/>
    <n v="5"/>
    <x v="203"/>
    <s v="rfurman62@t.co"/>
    <x v="1"/>
    <x v="2"/>
    <x v="0"/>
    <x v="0"/>
    <n v="11.25"/>
    <n v="56.25"/>
    <x v="2"/>
    <s v="Medium"/>
    <x v="0"/>
  </r>
  <r>
    <s v="BLQ-03709-265"/>
    <x v="148"/>
    <s v="72463-75685-MV"/>
    <s v="R-L-0.2"/>
    <n v="3"/>
    <x v="204"/>
    <s v="ccrosier63@xrea.com"/>
    <x v="0"/>
    <x v="0"/>
    <x v="1"/>
    <x v="3"/>
    <n v="3.5849999999999995"/>
    <n v="10.754999999999999"/>
    <x v="0"/>
    <s v="Light"/>
    <x v="1"/>
  </r>
  <r>
    <s v="BLQ-03709-265"/>
    <x v="148"/>
    <s v="72463-75685-MV"/>
    <s v="R-M-0.2"/>
    <n v="5"/>
    <x v="204"/>
    <s v="ccrosier63@xrea.com"/>
    <x v="0"/>
    <x v="0"/>
    <x v="0"/>
    <x v="3"/>
    <n v="2.9849999999999999"/>
    <n v="14.924999999999999"/>
    <x v="0"/>
    <s v="Medium"/>
    <x v="1"/>
  </r>
  <r>
    <s v="VFZ-91673-181"/>
    <x v="188"/>
    <s v="10225-91535-AI"/>
    <s v="A-L-1"/>
    <n v="6"/>
    <x v="205"/>
    <s v="lrushmer65@europa.eu"/>
    <x v="0"/>
    <x v="2"/>
    <x v="1"/>
    <x v="0"/>
    <n v="12.95"/>
    <n v="77.699999999999989"/>
    <x v="2"/>
    <s v="Light"/>
    <x v="0"/>
  </r>
  <r>
    <s v="WKD-81956-870"/>
    <x v="189"/>
    <s v="48090-06534-HI"/>
    <s v="L-D-0.5"/>
    <n v="3"/>
    <x v="206"/>
    <s v="wedinborough66@github.io"/>
    <x v="0"/>
    <x v="3"/>
    <x v="2"/>
    <x v="1"/>
    <n v="7.77"/>
    <n v="23.31"/>
    <x v="3"/>
    <s v="Dark"/>
    <x v="1"/>
  </r>
  <r>
    <s v="TNI-91067-006"/>
    <x v="190"/>
    <s v="80444-58185-FX"/>
    <s v="E-L-1"/>
    <n v="4"/>
    <x v="207"/>
    <s v=""/>
    <x v="0"/>
    <x v="1"/>
    <x v="1"/>
    <x v="0"/>
    <n v="14.85"/>
    <n v="59.4"/>
    <x v="1"/>
    <s v="Light"/>
    <x v="0"/>
  </r>
  <r>
    <s v="IZA-61469-812"/>
    <x v="191"/>
    <s v="13561-92774-WP"/>
    <s v="L-D-2.5"/>
    <n v="4"/>
    <x v="208"/>
    <s v="kbromehead68@un.org"/>
    <x v="0"/>
    <x v="3"/>
    <x v="2"/>
    <x v="2"/>
    <n v="29.784999999999997"/>
    <n v="119.13999999999999"/>
    <x v="3"/>
    <s v="Dark"/>
    <x v="0"/>
  </r>
  <r>
    <s v="PSS-22466-862"/>
    <x v="192"/>
    <s v="11550-78378-GE"/>
    <s v="R-L-0.2"/>
    <n v="4"/>
    <x v="209"/>
    <s v="ewesterman69@si.edu"/>
    <x v="1"/>
    <x v="0"/>
    <x v="1"/>
    <x v="3"/>
    <n v="3.5849999999999995"/>
    <n v="14.339999999999998"/>
    <x v="0"/>
    <s v="Light"/>
    <x v="1"/>
  </r>
  <r>
    <s v="REH-56504-397"/>
    <x v="193"/>
    <s v="90961-35603-RP"/>
    <s v="A-M-2.5"/>
    <n v="5"/>
    <x v="210"/>
    <s v="ahutchens6a@amazonaws.com"/>
    <x v="0"/>
    <x v="2"/>
    <x v="0"/>
    <x v="2"/>
    <n v="25.874999999999996"/>
    <n v="129.37499999999997"/>
    <x v="2"/>
    <s v="Medium"/>
    <x v="1"/>
  </r>
  <r>
    <s v="ALA-62598-016"/>
    <x v="194"/>
    <s v="57145-03803-ZL"/>
    <s v="R-D-0.2"/>
    <n v="6"/>
    <x v="211"/>
    <s v="nwyvill6b@naver.com"/>
    <x v="2"/>
    <x v="0"/>
    <x v="2"/>
    <x v="3"/>
    <n v="2.6849999999999996"/>
    <n v="16.11"/>
    <x v="0"/>
    <s v="Dark"/>
    <x v="0"/>
  </r>
  <r>
    <s v="EYE-70374-835"/>
    <x v="195"/>
    <s v="89115-11966-VF"/>
    <s v="R-L-0.2"/>
    <n v="5"/>
    <x v="212"/>
    <s v="bmathon6c@barnesandnoble.com"/>
    <x v="0"/>
    <x v="0"/>
    <x v="1"/>
    <x v="3"/>
    <n v="3.5849999999999995"/>
    <n v="17.924999999999997"/>
    <x v="0"/>
    <s v="Light"/>
    <x v="1"/>
  </r>
  <r>
    <s v="CCZ-19589-212"/>
    <x v="196"/>
    <s v="05754-41702-FG"/>
    <s v="L-M-0.2"/>
    <n v="2"/>
    <x v="213"/>
    <s v="kstreight6d@about.com"/>
    <x v="0"/>
    <x v="3"/>
    <x v="0"/>
    <x v="3"/>
    <n v="4.3650000000000002"/>
    <n v="8.73"/>
    <x v="3"/>
    <s v="Medium"/>
    <x v="1"/>
  </r>
  <r>
    <s v="BPT-83989-157"/>
    <x v="197"/>
    <s v="84269-49816-ML"/>
    <s v="A-M-2.5"/>
    <n v="2"/>
    <x v="214"/>
    <s v="pcutchie6e@globo.com"/>
    <x v="0"/>
    <x v="2"/>
    <x v="0"/>
    <x v="2"/>
    <n v="25.874999999999996"/>
    <n v="51.749999999999993"/>
    <x v="2"/>
    <s v="Medium"/>
    <x v="1"/>
  </r>
  <r>
    <s v="YFH-87456-208"/>
    <x v="198"/>
    <s v="23600-98432-ME"/>
    <s v="L-M-0.2"/>
    <n v="2"/>
    <x v="215"/>
    <s v=""/>
    <x v="0"/>
    <x v="3"/>
    <x v="0"/>
    <x v="3"/>
    <n v="4.3650000000000002"/>
    <n v="8.73"/>
    <x v="3"/>
    <s v="Medium"/>
    <x v="0"/>
  </r>
  <r>
    <s v="JLN-14700-924"/>
    <x v="199"/>
    <s v="79058-02767-CP"/>
    <s v="L-L-0.2"/>
    <n v="5"/>
    <x v="216"/>
    <s v="cgheraldi6g@opera.com"/>
    <x v="2"/>
    <x v="3"/>
    <x v="1"/>
    <x v="3"/>
    <n v="4.7549999999999999"/>
    <n v="23.774999999999999"/>
    <x v="3"/>
    <s v="Light"/>
    <x v="1"/>
  </r>
  <r>
    <s v="JVW-22582-137"/>
    <x v="200"/>
    <s v="89208-74646-UK"/>
    <s v="E-M-0.2"/>
    <n v="5"/>
    <x v="217"/>
    <s v="bkenwell6h@over-blog.com"/>
    <x v="0"/>
    <x v="1"/>
    <x v="0"/>
    <x v="3"/>
    <n v="4.125"/>
    <n v="20.625"/>
    <x v="1"/>
    <s v="Medium"/>
    <x v="1"/>
  </r>
  <r>
    <s v="LAA-41879-001"/>
    <x v="201"/>
    <s v="11408-81032-UR"/>
    <s v="L-L-2.5"/>
    <n v="1"/>
    <x v="218"/>
    <s v="tsutty6i@google.es"/>
    <x v="0"/>
    <x v="3"/>
    <x v="1"/>
    <x v="2"/>
    <n v="36.454999999999998"/>
    <n v="36.454999999999998"/>
    <x v="3"/>
    <s v="Light"/>
    <x v="1"/>
  </r>
  <r>
    <s v="BRV-64870-915"/>
    <x v="202"/>
    <s v="32070-55528-UG"/>
    <s v="L-L-2.5"/>
    <n v="5"/>
    <x v="219"/>
    <s v=""/>
    <x v="1"/>
    <x v="3"/>
    <x v="1"/>
    <x v="2"/>
    <n v="36.454999999999998"/>
    <n v="182.27499999999998"/>
    <x v="3"/>
    <s v="Light"/>
    <x v="1"/>
  </r>
  <r>
    <s v="RGJ-12544-083"/>
    <x v="203"/>
    <s v="48873-84433-PN"/>
    <s v="L-D-2.5"/>
    <n v="3"/>
    <x v="220"/>
    <s v="charce6k@cafepress.com"/>
    <x v="1"/>
    <x v="3"/>
    <x v="2"/>
    <x v="2"/>
    <n v="29.784999999999997"/>
    <n v="89.35499999999999"/>
    <x v="3"/>
    <s v="Dark"/>
    <x v="1"/>
  </r>
  <r>
    <s v="JJX-83339-346"/>
    <x v="204"/>
    <s v="32928-18158-OW"/>
    <s v="R-L-0.2"/>
    <n v="1"/>
    <x v="221"/>
    <s v=""/>
    <x v="0"/>
    <x v="0"/>
    <x v="1"/>
    <x v="3"/>
    <n v="3.5849999999999995"/>
    <n v="3.5849999999999995"/>
    <x v="0"/>
    <s v="Light"/>
    <x v="0"/>
  </r>
  <r>
    <s v="BIU-21970-705"/>
    <x v="205"/>
    <s v="89711-56688-GG"/>
    <s v="R-M-2.5"/>
    <n v="2"/>
    <x v="222"/>
    <s v="fdrysdale6m@symantec.com"/>
    <x v="0"/>
    <x v="0"/>
    <x v="0"/>
    <x v="2"/>
    <n v="22.884999999999998"/>
    <n v="45.769999999999996"/>
    <x v="0"/>
    <s v="Medium"/>
    <x v="0"/>
  </r>
  <r>
    <s v="ELJ-87741-745"/>
    <x v="206"/>
    <s v="48389-71976-JB"/>
    <s v="E-L-1"/>
    <n v="4"/>
    <x v="223"/>
    <s v="dmagowan6n@fc2.com"/>
    <x v="0"/>
    <x v="1"/>
    <x v="1"/>
    <x v="0"/>
    <n v="14.85"/>
    <n v="59.4"/>
    <x v="1"/>
    <s v="Light"/>
    <x v="1"/>
  </r>
  <r>
    <s v="SGI-48226-857"/>
    <x v="207"/>
    <s v="84033-80762-EQ"/>
    <s v="A-M-2.5"/>
    <n v="6"/>
    <x v="224"/>
    <s v=""/>
    <x v="0"/>
    <x v="2"/>
    <x v="0"/>
    <x v="2"/>
    <n v="25.874999999999996"/>
    <n v="155.24999999999997"/>
    <x v="2"/>
    <s v="Medium"/>
    <x v="0"/>
  </r>
  <r>
    <s v="AHV-66988-037"/>
    <x v="208"/>
    <s v="12743-00952-KO"/>
    <s v="R-M-2.5"/>
    <n v="2"/>
    <x v="225"/>
    <s v=""/>
    <x v="0"/>
    <x v="0"/>
    <x v="0"/>
    <x v="2"/>
    <n v="22.884999999999998"/>
    <n v="45.769999999999996"/>
    <x v="0"/>
    <s v="Medium"/>
    <x v="1"/>
  </r>
  <r>
    <s v="ISK-42066-094"/>
    <x v="209"/>
    <s v="41505-42181-EF"/>
    <s v="E-D-1"/>
    <n v="3"/>
    <x v="226"/>
    <s v="srushbrooke6q@youku.com"/>
    <x v="0"/>
    <x v="1"/>
    <x v="2"/>
    <x v="0"/>
    <n v="12.15"/>
    <n v="36.450000000000003"/>
    <x v="1"/>
    <s v="Dark"/>
    <x v="0"/>
  </r>
  <r>
    <s v="FTC-35822-530"/>
    <x v="210"/>
    <s v="14307-87663-KB"/>
    <s v="E-D-0.5"/>
    <n v="4"/>
    <x v="227"/>
    <s v="tdrynan6r@deviantart.com"/>
    <x v="0"/>
    <x v="1"/>
    <x v="2"/>
    <x v="1"/>
    <n v="7.29"/>
    <n v="29.16"/>
    <x v="1"/>
    <s v="Dark"/>
    <x v="0"/>
  </r>
  <r>
    <s v="VSS-56247-688"/>
    <x v="211"/>
    <s v="08360-19442-GB"/>
    <s v="L-M-2.5"/>
    <n v="4"/>
    <x v="228"/>
    <s v="eyurkov6s@hud.gov"/>
    <x v="0"/>
    <x v="3"/>
    <x v="0"/>
    <x v="2"/>
    <n v="33.464999999999996"/>
    <n v="133.85999999999999"/>
    <x v="3"/>
    <s v="Medium"/>
    <x v="1"/>
  </r>
  <r>
    <s v="HVW-25584-144"/>
    <x v="212"/>
    <s v="93405-51204-UW"/>
    <s v="L-L-0.2"/>
    <n v="5"/>
    <x v="229"/>
    <s v="lmallan6t@state.gov"/>
    <x v="0"/>
    <x v="3"/>
    <x v="1"/>
    <x v="3"/>
    <n v="4.7549999999999999"/>
    <n v="23.774999999999999"/>
    <x v="3"/>
    <s v="Light"/>
    <x v="0"/>
  </r>
  <r>
    <s v="MUY-15309-209"/>
    <x v="213"/>
    <s v="97152-03355-IW"/>
    <s v="L-D-1"/>
    <n v="3"/>
    <x v="230"/>
    <s v="gbentjens6u@netlog.com"/>
    <x v="2"/>
    <x v="3"/>
    <x v="2"/>
    <x v="0"/>
    <n v="12.95"/>
    <n v="38.849999999999994"/>
    <x v="3"/>
    <s v="Dark"/>
    <x v="1"/>
  </r>
  <r>
    <s v="VAJ-44572-469"/>
    <x v="63"/>
    <s v="79216-73157-TE"/>
    <s v="R-L-0.2"/>
    <n v="6"/>
    <x v="231"/>
    <s v=""/>
    <x v="1"/>
    <x v="0"/>
    <x v="1"/>
    <x v="3"/>
    <n v="3.5849999999999995"/>
    <n v="21.509999999999998"/>
    <x v="0"/>
    <s v="Light"/>
    <x v="0"/>
  </r>
  <r>
    <s v="YJU-84377-606"/>
    <x v="214"/>
    <s v="20259-47723-AC"/>
    <s v="A-D-1"/>
    <n v="1"/>
    <x v="232"/>
    <s v="lentwistle6w@omniture.com"/>
    <x v="0"/>
    <x v="2"/>
    <x v="2"/>
    <x v="0"/>
    <n v="9.9499999999999993"/>
    <n v="9.9499999999999993"/>
    <x v="2"/>
    <s v="Dark"/>
    <x v="0"/>
  </r>
  <r>
    <s v="VNC-93921-469"/>
    <x v="215"/>
    <s v="04666-71569-RI"/>
    <s v="L-L-1"/>
    <n v="1"/>
    <x v="233"/>
    <s v="zkiffe74@cyberchimps.com"/>
    <x v="0"/>
    <x v="3"/>
    <x v="1"/>
    <x v="0"/>
    <n v="15.85"/>
    <n v="15.85"/>
    <x v="3"/>
    <s v="Light"/>
    <x v="0"/>
  </r>
  <r>
    <s v="OGB-91614-810"/>
    <x v="216"/>
    <s v="08909-77713-CG"/>
    <s v="R-M-0.2"/>
    <n v="1"/>
    <x v="234"/>
    <s v="macott6y@pagesperso-orange.fr"/>
    <x v="0"/>
    <x v="0"/>
    <x v="0"/>
    <x v="3"/>
    <n v="2.9849999999999999"/>
    <n v="2.9849999999999999"/>
    <x v="0"/>
    <s v="Medium"/>
    <x v="0"/>
  </r>
  <r>
    <s v="BQI-61647-496"/>
    <x v="217"/>
    <s v="84340-73931-VV"/>
    <s v="E-M-1"/>
    <n v="5"/>
    <x v="235"/>
    <s v="cheaviside6z@rediff.com"/>
    <x v="0"/>
    <x v="1"/>
    <x v="0"/>
    <x v="0"/>
    <n v="13.75"/>
    <n v="68.75"/>
    <x v="1"/>
    <s v="Medium"/>
    <x v="0"/>
  </r>
  <r>
    <s v="IOM-51636-823"/>
    <x v="218"/>
    <s v="04609-95151-XH"/>
    <s v="A-D-1"/>
    <n v="3"/>
    <x v="236"/>
    <s v=""/>
    <x v="0"/>
    <x v="2"/>
    <x v="2"/>
    <x v="0"/>
    <n v="9.9499999999999993"/>
    <n v="29.849999999999998"/>
    <x v="2"/>
    <s v="Dark"/>
    <x v="1"/>
  </r>
  <r>
    <s v="GGD-38107-641"/>
    <x v="219"/>
    <s v="99562-88650-YF"/>
    <s v="L-M-1"/>
    <n v="4"/>
    <x v="237"/>
    <s v="lkernan71@wsj.com"/>
    <x v="0"/>
    <x v="3"/>
    <x v="0"/>
    <x v="0"/>
    <n v="14.55"/>
    <n v="58.2"/>
    <x v="3"/>
    <s v="Medium"/>
    <x v="1"/>
  </r>
  <r>
    <s v="LTO-95975-728"/>
    <x v="220"/>
    <s v="46560-73885-PJ"/>
    <s v="R-L-0.5"/>
    <n v="4"/>
    <x v="238"/>
    <s v="rmclae72@dailymotion.com"/>
    <x v="2"/>
    <x v="0"/>
    <x v="1"/>
    <x v="1"/>
    <n v="7.169999999999999"/>
    <n v="28.679999999999996"/>
    <x v="0"/>
    <s v="Light"/>
    <x v="1"/>
  </r>
  <r>
    <s v="IGM-84664-265"/>
    <x v="114"/>
    <s v="80179-44620-WN"/>
    <s v="R-L-0.5"/>
    <n v="3"/>
    <x v="239"/>
    <s v="cblowfelde73@ustream.tv"/>
    <x v="0"/>
    <x v="0"/>
    <x v="1"/>
    <x v="1"/>
    <n v="7.169999999999999"/>
    <n v="21.509999999999998"/>
    <x v="0"/>
    <s v="Light"/>
    <x v="1"/>
  </r>
  <r>
    <s v="SKO-45740-621"/>
    <x v="221"/>
    <s v="04666-71569-RI"/>
    <s v="L-M-0.5"/>
    <n v="2"/>
    <x v="233"/>
    <s v="zkiffe74@cyberchimps.com"/>
    <x v="0"/>
    <x v="3"/>
    <x v="0"/>
    <x v="1"/>
    <n v="8.73"/>
    <n v="17.46"/>
    <x v="3"/>
    <s v="Medium"/>
    <x v="0"/>
  </r>
  <r>
    <s v="FOJ-02234-063"/>
    <x v="222"/>
    <s v="59081-87231-VP"/>
    <s v="E-D-2.5"/>
    <n v="1"/>
    <x v="240"/>
    <s v="docalleran75@ucla.edu"/>
    <x v="0"/>
    <x v="1"/>
    <x v="2"/>
    <x v="2"/>
    <n v="27.945"/>
    <n v="27.945"/>
    <x v="1"/>
    <s v="Dark"/>
    <x v="0"/>
  </r>
  <r>
    <s v="MSJ-11909-468"/>
    <x v="188"/>
    <s v="07878-45872-CC"/>
    <s v="E-D-2.5"/>
    <n v="5"/>
    <x v="241"/>
    <s v="ccromwell76@desdev.cn"/>
    <x v="0"/>
    <x v="1"/>
    <x v="2"/>
    <x v="2"/>
    <n v="27.945"/>
    <n v="139.72499999999999"/>
    <x v="1"/>
    <s v="Dark"/>
    <x v="1"/>
  </r>
  <r>
    <s v="DKB-78053-329"/>
    <x v="223"/>
    <s v="12444-05174-OO"/>
    <s v="R-M-0.2"/>
    <n v="2"/>
    <x v="242"/>
    <s v="ihay77@lulu.com"/>
    <x v="2"/>
    <x v="0"/>
    <x v="0"/>
    <x v="3"/>
    <n v="2.9849999999999999"/>
    <n v="5.97"/>
    <x v="0"/>
    <s v="Medium"/>
    <x v="1"/>
  </r>
  <r>
    <s v="DFZ-45083-941"/>
    <x v="224"/>
    <s v="34665-62561-AU"/>
    <s v="R-L-2.5"/>
    <n v="1"/>
    <x v="243"/>
    <s v="ttaffarello78@sciencedaily.com"/>
    <x v="0"/>
    <x v="0"/>
    <x v="1"/>
    <x v="2"/>
    <n v="27.484999999999996"/>
    <n v="27.484999999999996"/>
    <x v="0"/>
    <s v="Light"/>
    <x v="0"/>
  </r>
  <r>
    <s v="OTA-40969-710"/>
    <x v="83"/>
    <s v="77877-11993-QH"/>
    <s v="R-L-1"/>
    <n v="5"/>
    <x v="244"/>
    <s v="mcanty79@jigsy.com"/>
    <x v="0"/>
    <x v="0"/>
    <x v="1"/>
    <x v="0"/>
    <n v="11.95"/>
    <n v="59.75"/>
    <x v="0"/>
    <s v="Light"/>
    <x v="0"/>
  </r>
  <r>
    <s v="GRH-45571-667"/>
    <x v="104"/>
    <s v="32291-18308-YZ"/>
    <s v="E-M-1"/>
    <n v="3"/>
    <x v="245"/>
    <s v="jkopke7a@auda.org.au"/>
    <x v="0"/>
    <x v="1"/>
    <x v="0"/>
    <x v="0"/>
    <n v="13.75"/>
    <n v="41.25"/>
    <x v="1"/>
    <s v="Medium"/>
    <x v="1"/>
  </r>
  <r>
    <s v="NXV-05302-067"/>
    <x v="225"/>
    <s v="25754-33191-ZI"/>
    <s v="L-M-2.5"/>
    <n v="4"/>
    <x v="246"/>
    <s v=""/>
    <x v="0"/>
    <x v="3"/>
    <x v="0"/>
    <x v="2"/>
    <n v="33.464999999999996"/>
    <n v="133.85999999999999"/>
    <x v="3"/>
    <s v="Medium"/>
    <x v="1"/>
  </r>
  <r>
    <s v="VZH-86274-142"/>
    <x v="226"/>
    <s v="53120-45532-KL"/>
    <s v="R-L-1"/>
    <n v="5"/>
    <x v="247"/>
    <s v=""/>
    <x v="1"/>
    <x v="0"/>
    <x v="1"/>
    <x v="0"/>
    <n v="11.95"/>
    <n v="59.75"/>
    <x v="0"/>
    <s v="Light"/>
    <x v="0"/>
  </r>
  <r>
    <s v="KIX-93248-135"/>
    <x v="227"/>
    <s v="36605-83052-WB"/>
    <s v="A-D-0.5"/>
    <n v="1"/>
    <x v="248"/>
    <s v="vhellmore7d@bbc.co.uk"/>
    <x v="0"/>
    <x v="2"/>
    <x v="2"/>
    <x v="1"/>
    <n v="5.97"/>
    <n v="5.97"/>
    <x v="2"/>
    <s v="Dark"/>
    <x v="0"/>
  </r>
  <r>
    <s v="AXR-10962-010"/>
    <x v="180"/>
    <s v="53683-35977-KI"/>
    <s v="E-D-1"/>
    <n v="2"/>
    <x v="249"/>
    <s v="mseawright7e@nbcnews.com"/>
    <x v="2"/>
    <x v="1"/>
    <x v="2"/>
    <x v="0"/>
    <n v="12.15"/>
    <n v="24.3"/>
    <x v="1"/>
    <s v="Dark"/>
    <x v="1"/>
  </r>
  <r>
    <s v="IHS-71573-008"/>
    <x v="228"/>
    <s v="07972-83134-NM"/>
    <s v="E-D-0.2"/>
    <n v="6"/>
    <x v="250"/>
    <s v="snortheast7f@mashable.com"/>
    <x v="0"/>
    <x v="1"/>
    <x v="2"/>
    <x v="3"/>
    <n v="3.645"/>
    <n v="21.87"/>
    <x v="1"/>
    <s v="Dark"/>
    <x v="0"/>
  </r>
  <r>
    <s v="QTR-19001-114"/>
    <x v="229"/>
    <s v="01035-70465-UO"/>
    <s v="A-D-1"/>
    <n v="2"/>
    <x v="195"/>
    <s v="aattwater5u@wikia.com"/>
    <x v="0"/>
    <x v="2"/>
    <x v="2"/>
    <x v="0"/>
    <n v="9.9499999999999993"/>
    <n v="19.899999999999999"/>
    <x v="2"/>
    <s v="Dark"/>
    <x v="0"/>
  </r>
  <r>
    <s v="WBK-62297-910"/>
    <x v="230"/>
    <s v="25514-23938-IQ"/>
    <s v="A-D-0.2"/>
    <n v="2"/>
    <x v="251"/>
    <s v="mfearon7h@reverbnation.com"/>
    <x v="0"/>
    <x v="2"/>
    <x v="2"/>
    <x v="3"/>
    <n v="2.9849999999999999"/>
    <n v="5.97"/>
    <x v="2"/>
    <s v="Dark"/>
    <x v="1"/>
  </r>
  <r>
    <s v="OGY-19377-175"/>
    <x v="231"/>
    <s v="49084-44492-OJ"/>
    <s v="E-D-0.5"/>
    <n v="1"/>
    <x v="252"/>
    <s v=""/>
    <x v="1"/>
    <x v="1"/>
    <x v="2"/>
    <x v="1"/>
    <n v="7.29"/>
    <n v="7.29"/>
    <x v="1"/>
    <s v="Dark"/>
    <x v="0"/>
  </r>
  <r>
    <s v="ESR-66651-814"/>
    <x v="80"/>
    <s v="76624-72205-CK"/>
    <s v="A-D-0.2"/>
    <n v="4"/>
    <x v="253"/>
    <s v="jsisneros7j@a8.net"/>
    <x v="0"/>
    <x v="2"/>
    <x v="2"/>
    <x v="3"/>
    <n v="2.9849999999999999"/>
    <n v="11.94"/>
    <x v="2"/>
    <s v="Dark"/>
    <x v="0"/>
  </r>
  <r>
    <s v="CPX-46916-770"/>
    <x v="232"/>
    <s v="12729-50170-JE"/>
    <s v="R-L-1"/>
    <n v="6"/>
    <x v="254"/>
    <s v="zcarlson7k@bigcartel.com"/>
    <x v="1"/>
    <x v="0"/>
    <x v="1"/>
    <x v="0"/>
    <n v="11.95"/>
    <n v="71.699999999999989"/>
    <x v="0"/>
    <s v="Light"/>
    <x v="0"/>
  </r>
  <r>
    <s v="MDC-03318-645"/>
    <x v="233"/>
    <s v="43974-44760-QI"/>
    <s v="A-L-0.2"/>
    <n v="2"/>
    <x v="255"/>
    <s v="wmaddox7l@timesonline.co.uk"/>
    <x v="0"/>
    <x v="2"/>
    <x v="1"/>
    <x v="3"/>
    <n v="3.8849999999999998"/>
    <n v="7.77"/>
    <x v="2"/>
    <s v="Light"/>
    <x v="1"/>
  </r>
  <r>
    <s v="SFF-86059-407"/>
    <x v="234"/>
    <s v="30585-48726-BK"/>
    <s v="A-M-2.5"/>
    <n v="1"/>
    <x v="256"/>
    <s v="dhedlestone7m@craigslist.org"/>
    <x v="0"/>
    <x v="2"/>
    <x v="0"/>
    <x v="2"/>
    <n v="25.874999999999996"/>
    <n v="25.874999999999996"/>
    <x v="2"/>
    <s v="Medium"/>
    <x v="1"/>
  </r>
  <r>
    <s v="SCL-94540-788"/>
    <x v="235"/>
    <s v="16123-07017-TY"/>
    <s v="E-L-2.5"/>
    <n v="6"/>
    <x v="257"/>
    <s v="tcrowthe7n@europa.eu"/>
    <x v="0"/>
    <x v="1"/>
    <x v="1"/>
    <x v="2"/>
    <n v="34.154999999999994"/>
    <n v="204.92999999999995"/>
    <x v="1"/>
    <s v="Light"/>
    <x v="1"/>
  </r>
  <r>
    <s v="HVU-21634-076"/>
    <x v="236"/>
    <s v="27723-45097-MH"/>
    <s v="R-L-2.5"/>
    <n v="4"/>
    <x v="258"/>
    <s v="dbury7o@tinyurl.com"/>
    <x v="1"/>
    <x v="0"/>
    <x v="1"/>
    <x v="2"/>
    <n v="27.484999999999996"/>
    <n v="109.93999999999998"/>
    <x v="0"/>
    <s v="Light"/>
    <x v="0"/>
  </r>
  <r>
    <s v="XUS-73326-418"/>
    <x v="237"/>
    <s v="37078-56703-AF"/>
    <s v="E-L-1"/>
    <n v="6"/>
    <x v="259"/>
    <s v="gbroadbear7p@omniture.com"/>
    <x v="0"/>
    <x v="1"/>
    <x v="1"/>
    <x v="0"/>
    <n v="14.85"/>
    <n v="89.1"/>
    <x v="1"/>
    <s v="Light"/>
    <x v="1"/>
  </r>
  <r>
    <s v="XWD-18933-006"/>
    <x v="238"/>
    <s v="79420-11075-MY"/>
    <s v="A-L-0.2"/>
    <n v="2"/>
    <x v="260"/>
    <s v="epalfrey7q@devhub.com"/>
    <x v="0"/>
    <x v="2"/>
    <x v="1"/>
    <x v="3"/>
    <n v="3.8849999999999998"/>
    <n v="7.77"/>
    <x v="2"/>
    <s v="Light"/>
    <x v="0"/>
  </r>
  <r>
    <s v="HPD-65272-772"/>
    <x v="52"/>
    <s v="57504-13456-UO"/>
    <s v="L-M-2.5"/>
    <n v="1"/>
    <x v="261"/>
    <s v="pmetrick7r@rakuten.co.jp"/>
    <x v="0"/>
    <x v="3"/>
    <x v="0"/>
    <x v="2"/>
    <n v="33.464999999999996"/>
    <n v="33.464999999999996"/>
    <x v="3"/>
    <s v="Medium"/>
    <x v="0"/>
  </r>
  <r>
    <s v="JEG-93140-224"/>
    <x v="146"/>
    <s v="53751-57560-CN"/>
    <s v="E-M-0.5"/>
    <n v="5"/>
    <x v="262"/>
    <s v=""/>
    <x v="0"/>
    <x v="1"/>
    <x v="0"/>
    <x v="1"/>
    <n v="8.25"/>
    <n v="41.25"/>
    <x v="1"/>
    <s v="Medium"/>
    <x v="0"/>
  </r>
  <r>
    <s v="NNH-62058-950"/>
    <x v="239"/>
    <s v="96112-42558-EA"/>
    <s v="E-L-1"/>
    <n v="4"/>
    <x v="263"/>
    <s v="kkarby7t@sbwire.com"/>
    <x v="0"/>
    <x v="1"/>
    <x v="1"/>
    <x v="0"/>
    <n v="14.85"/>
    <n v="59.4"/>
    <x v="1"/>
    <s v="Light"/>
    <x v="0"/>
  </r>
  <r>
    <s v="LTD-71429-845"/>
    <x v="240"/>
    <s v="03157-23165-UB"/>
    <s v="A-L-0.5"/>
    <n v="1"/>
    <x v="264"/>
    <s v="fcrumpe7u@ftc.gov"/>
    <x v="2"/>
    <x v="2"/>
    <x v="1"/>
    <x v="1"/>
    <n v="7.77"/>
    <n v="7.77"/>
    <x v="2"/>
    <s v="Light"/>
    <x v="1"/>
  </r>
  <r>
    <s v="MPV-26985-215"/>
    <x v="241"/>
    <s v="51466-52850-AG"/>
    <s v="R-D-0.5"/>
    <n v="1"/>
    <x v="265"/>
    <s v="achatto7v@sakura.ne.jp"/>
    <x v="2"/>
    <x v="0"/>
    <x v="2"/>
    <x v="1"/>
    <n v="5.3699999999999992"/>
    <n v="5.3699999999999992"/>
    <x v="0"/>
    <s v="Dark"/>
    <x v="0"/>
  </r>
  <r>
    <s v="IYO-10245-081"/>
    <x v="242"/>
    <s v="57145-31023-FK"/>
    <s v="E-M-2.5"/>
    <n v="3"/>
    <x v="266"/>
    <s v=""/>
    <x v="0"/>
    <x v="1"/>
    <x v="0"/>
    <x v="2"/>
    <n v="31.624999999999996"/>
    <n v="94.874999999999986"/>
    <x v="1"/>
    <s v="Medium"/>
    <x v="1"/>
  </r>
  <r>
    <s v="BYZ-39669-954"/>
    <x v="243"/>
    <s v="66408-53777-VE"/>
    <s v="L-L-2.5"/>
    <n v="1"/>
    <x v="267"/>
    <s v=""/>
    <x v="0"/>
    <x v="3"/>
    <x v="1"/>
    <x v="2"/>
    <n v="36.454999999999998"/>
    <n v="36.454999999999998"/>
    <x v="3"/>
    <s v="Light"/>
    <x v="1"/>
  </r>
  <r>
    <s v="EFB-72860-209"/>
    <x v="244"/>
    <s v="53035-99701-WG"/>
    <s v="A-M-0.2"/>
    <n v="4"/>
    <x v="268"/>
    <s v="bmergue7y@umn.edu"/>
    <x v="0"/>
    <x v="2"/>
    <x v="0"/>
    <x v="3"/>
    <n v="3.375"/>
    <n v="13.5"/>
    <x v="2"/>
    <s v="Medium"/>
    <x v="0"/>
  </r>
  <r>
    <s v="GMM-72397-378"/>
    <x v="245"/>
    <s v="45899-92796-EI"/>
    <s v="R-L-0.2"/>
    <n v="4"/>
    <x v="269"/>
    <s v="kpatise7z@jigsy.com"/>
    <x v="0"/>
    <x v="0"/>
    <x v="1"/>
    <x v="3"/>
    <n v="3.5849999999999995"/>
    <n v="14.339999999999998"/>
    <x v="0"/>
    <s v="Light"/>
    <x v="1"/>
  </r>
  <r>
    <s v="LYP-52345-883"/>
    <x v="246"/>
    <s v="17649-28133-PY"/>
    <s v="E-M-0.5"/>
    <n v="1"/>
    <x v="270"/>
    <s v=""/>
    <x v="1"/>
    <x v="1"/>
    <x v="0"/>
    <x v="1"/>
    <n v="8.25"/>
    <n v="8.25"/>
    <x v="1"/>
    <s v="Medium"/>
    <x v="0"/>
  </r>
  <r>
    <s v="DFK-35846-692"/>
    <x v="247"/>
    <s v="49612-33852-CN"/>
    <s v="R-D-0.2"/>
    <n v="5"/>
    <x v="271"/>
    <s v=""/>
    <x v="0"/>
    <x v="0"/>
    <x v="2"/>
    <x v="3"/>
    <n v="2.6849999999999996"/>
    <n v="13.424999999999997"/>
    <x v="0"/>
    <s v="Dark"/>
    <x v="0"/>
  </r>
  <r>
    <s v="XAH-93337-609"/>
    <x v="248"/>
    <s v="66976-43829-YG"/>
    <s v="A-D-1"/>
    <n v="5"/>
    <x v="272"/>
    <s v="dduke82@vkontakte.ru"/>
    <x v="0"/>
    <x v="2"/>
    <x v="2"/>
    <x v="0"/>
    <n v="9.9499999999999993"/>
    <n v="49.75"/>
    <x v="2"/>
    <s v="Dark"/>
    <x v="1"/>
  </r>
  <r>
    <s v="QKA-72582-644"/>
    <x v="249"/>
    <s v="64852-04619-XZ"/>
    <s v="E-M-0.5"/>
    <n v="2"/>
    <x v="273"/>
    <s v=""/>
    <x v="1"/>
    <x v="1"/>
    <x v="0"/>
    <x v="1"/>
    <n v="8.25"/>
    <n v="16.5"/>
    <x v="1"/>
    <s v="Medium"/>
    <x v="1"/>
  </r>
  <r>
    <s v="ZDK-84567-102"/>
    <x v="250"/>
    <s v="58690-31815-VY"/>
    <s v="A-D-0.5"/>
    <n v="3"/>
    <x v="274"/>
    <s v="ihussey84@mapy.cz"/>
    <x v="0"/>
    <x v="2"/>
    <x v="2"/>
    <x v="1"/>
    <n v="5.97"/>
    <n v="17.91"/>
    <x v="2"/>
    <s v="Dark"/>
    <x v="1"/>
  </r>
  <r>
    <s v="WAV-38301-984"/>
    <x v="251"/>
    <s v="62863-81239-DT"/>
    <s v="A-D-0.5"/>
    <n v="5"/>
    <x v="275"/>
    <s v="cpinkerton85@upenn.edu"/>
    <x v="0"/>
    <x v="2"/>
    <x v="2"/>
    <x v="1"/>
    <n v="5.97"/>
    <n v="29.849999999999998"/>
    <x v="2"/>
    <s v="Dark"/>
    <x v="1"/>
  </r>
  <r>
    <s v="KZR-33023-209"/>
    <x v="177"/>
    <s v="21177-40725-CF"/>
    <s v="E-L-1"/>
    <n v="3"/>
    <x v="276"/>
    <s v=""/>
    <x v="0"/>
    <x v="1"/>
    <x v="1"/>
    <x v="0"/>
    <n v="14.85"/>
    <n v="44.55"/>
    <x v="1"/>
    <s v="Light"/>
    <x v="1"/>
  </r>
  <r>
    <s v="ULM-49433-003"/>
    <x v="252"/>
    <s v="99421-80253-UI"/>
    <s v="E-M-1"/>
    <n v="2"/>
    <x v="277"/>
    <s v=""/>
    <x v="0"/>
    <x v="1"/>
    <x v="0"/>
    <x v="0"/>
    <n v="13.75"/>
    <n v="27.5"/>
    <x v="1"/>
    <s v="Medium"/>
    <x v="1"/>
  </r>
  <r>
    <s v="SIB-83254-136"/>
    <x v="253"/>
    <s v="45315-50206-DK"/>
    <s v="R-M-0.5"/>
    <n v="6"/>
    <x v="278"/>
    <s v="dvizor88@furl.net"/>
    <x v="0"/>
    <x v="0"/>
    <x v="0"/>
    <x v="1"/>
    <n v="5.97"/>
    <n v="35.82"/>
    <x v="0"/>
    <s v="Medium"/>
    <x v="0"/>
  </r>
  <r>
    <s v="NOK-50349-551"/>
    <x v="254"/>
    <s v="09595-95726-OV"/>
    <s v="R-D-0.5"/>
    <n v="3"/>
    <x v="279"/>
    <s v="esedgebeer89@oaic.gov.au"/>
    <x v="0"/>
    <x v="0"/>
    <x v="2"/>
    <x v="1"/>
    <n v="5.3699999999999992"/>
    <n v="16.11"/>
    <x v="0"/>
    <s v="Dark"/>
    <x v="0"/>
  </r>
  <r>
    <s v="YIS-96268-844"/>
    <x v="227"/>
    <s v="60221-67036-TD"/>
    <s v="E-L-0.2"/>
    <n v="6"/>
    <x v="280"/>
    <s v="klestrange8a@lulu.com"/>
    <x v="0"/>
    <x v="1"/>
    <x v="1"/>
    <x v="3"/>
    <n v="4.4550000000000001"/>
    <n v="26.73"/>
    <x v="1"/>
    <s v="Light"/>
    <x v="0"/>
  </r>
  <r>
    <s v="CXI-04933-855"/>
    <x v="110"/>
    <s v="62923-29397-KX"/>
    <s v="E-L-2.5"/>
    <n v="6"/>
    <x v="281"/>
    <s v="ltanti8b@techcrunch.com"/>
    <x v="0"/>
    <x v="1"/>
    <x v="1"/>
    <x v="2"/>
    <n v="34.154999999999994"/>
    <n v="204.92999999999995"/>
    <x v="1"/>
    <s v="Light"/>
    <x v="0"/>
  </r>
  <r>
    <s v="IZU-90429-382"/>
    <x v="182"/>
    <s v="33011-52383-BA"/>
    <s v="A-L-1"/>
    <n v="3"/>
    <x v="282"/>
    <s v="ade8c@1und1.de"/>
    <x v="0"/>
    <x v="2"/>
    <x v="1"/>
    <x v="0"/>
    <n v="12.95"/>
    <n v="38.849999999999994"/>
    <x v="2"/>
    <s v="Light"/>
    <x v="0"/>
  </r>
  <r>
    <s v="WIT-40912-783"/>
    <x v="255"/>
    <s v="86768-91598-FA"/>
    <s v="L-D-0.2"/>
    <n v="4"/>
    <x v="283"/>
    <s v="tjedrachowicz8d@acquirethisname.com"/>
    <x v="0"/>
    <x v="3"/>
    <x v="2"/>
    <x v="3"/>
    <n v="3.8849999999999998"/>
    <n v="15.54"/>
    <x v="3"/>
    <s v="Dark"/>
    <x v="0"/>
  </r>
  <r>
    <s v="PSD-57291-590"/>
    <x v="256"/>
    <s v="37191-12203-MX"/>
    <s v="A-M-0.5"/>
    <n v="1"/>
    <x v="284"/>
    <s v="pstonner8e@moonfruit.com"/>
    <x v="0"/>
    <x v="2"/>
    <x v="0"/>
    <x v="1"/>
    <n v="6.75"/>
    <n v="6.75"/>
    <x v="2"/>
    <s v="Medium"/>
    <x v="1"/>
  </r>
  <r>
    <s v="GOI-41472-677"/>
    <x v="3"/>
    <s v="16545-76328-JY"/>
    <s v="E-D-2.5"/>
    <n v="4"/>
    <x v="285"/>
    <s v="dtingly8f@goo.ne.jp"/>
    <x v="0"/>
    <x v="1"/>
    <x v="2"/>
    <x v="2"/>
    <n v="27.945"/>
    <n v="111.78"/>
    <x v="1"/>
    <s v="Dark"/>
    <x v="0"/>
  </r>
  <r>
    <s v="KTX-17944-494"/>
    <x v="257"/>
    <s v="74330-29286-RO"/>
    <s v="A-L-0.2"/>
    <n v="1"/>
    <x v="286"/>
    <s v="crushe8n@about.me"/>
    <x v="0"/>
    <x v="2"/>
    <x v="1"/>
    <x v="3"/>
    <n v="3.8849999999999998"/>
    <n v="3.8849999999999998"/>
    <x v="2"/>
    <s v="Light"/>
    <x v="0"/>
  </r>
  <r>
    <s v="RDM-99811-230"/>
    <x v="258"/>
    <s v="22349-47389-GY"/>
    <s v="L-M-0.2"/>
    <n v="5"/>
    <x v="287"/>
    <s v="bchecci8h@usa.gov"/>
    <x v="2"/>
    <x v="3"/>
    <x v="0"/>
    <x v="3"/>
    <n v="4.3650000000000002"/>
    <n v="21.825000000000003"/>
    <x v="3"/>
    <s v="Medium"/>
    <x v="1"/>
  </r>
  <r>
    <s v="JTU-55897-581"/>
    <x v="259"/>
    <s v="70290-38099-GB"/>
    <s v="R-M-0.2"/>
    <n v="5"/>
    <x v="288"/>
    <s v="jbagot8i@mac.com"/>
    <x v="0"/>
    <x v="0"/>
    <x v="0"/>
    <x v="3"/>
    <n v="2.9849999999999999"/>
    <n v="14.924999999999999"/>
    <x v="0"/>
    <s v="Medium"/>
    <x v="1"/>
  </r>
  <r>
    <s v="CRK-07584-240"/>
    <x v="260"/>
    <s v="18741-72071-PP"/>
    <s v="A-M-1"/>
    <n v="3"/>
    <x v="289"/>
    <s v="ebeeble8j@soundcloud.com"/>
    <x v="0"/>
    <x v="2"/>
    <x v="0"/>
    <x v="0"/>
    <n v="11.25"/>
    <n v="33.75"/>
    <x v="2"/>
    <s v="Medium"/>
    <x v="0"/>
  </r>
  <r>
    <s v="MKE-75518-399"/>
    <x v="261"/>
    <s v="62588-82624-II"/>
    <s v="A-M-1"/>
    <n v="3"/>
    <x v="290"/>
    <s v="cfluin8k@flickr.com"/>
    <x v="2"/>
    <x v="2"/>
    <x v="0"/>
    <x v="0"/>
    <n v="11.25"/>
    <n v="33.75"/>
    <x v="2"/>
    <s v="Medium"/>
    <x v="1"/>
  </r>
  <r>
    <s v="AEL-51169-725"/>
    <x v="262"/>
    <s v="37430-29579-HD"/>
    <s v="L-M-0.2"/>
    <n v="6"/>
    <x v="291"/>
    <s v="ebletsor8l@vinaora.com"/>
    <x v="0"/>
    <x v="3"/>
    <x v="0"/>
    <x v="3"/>
    <n v="4.3650000000000002"/>
    <n v="26.19"/>
    <x v="3"/>
    <s v="Medium"/>
    <x v="0"/>
  </r>
  <r>
    <s v="ZGM-83108-823"/>
    <x v="263"/>
    <s v="84132-22322-QT"/>
    <s v="E-L-1"/>
    <n v="1"/>
    <x v="292"/>
    <s v="pbrydell8m@bloglovin.com"/>
    <x v="1"/>
    <x v="1"/>
    <x v="1"/>
    <x v="0"/>
    <n v="14.85"/>
    <n v="14.85"/>
    <x v="1"/>
    <s v="Light"/>
    <x v="1"/>
  </r>
  <r>
    <s v="JBP-78754-392"/>
    <x v="212"/>
    <s v="74330-29286-RO"/>
    <s v="E-M-2.5"/>
    <n v="6"/>
    <x v="286"/>
    <s v="crushe8n@about.me"/>
    <x v="0"/>
    <x v="1"/>
    <x v="0"/>
    <x v="2"/>
    <n v="31.624999999999996"/>
    <n v="189.74999999999997"/>
    <x v="1"/>
    <s v="Medium"/>
    <x v="0"/>
  </r>
  <r>
    <s v="RNH-54912-747"/>
    <x v="187"/>
    <s v="37445-17791-NQ"/>
    <s v="R-M-0.5"/>
    <n v="1"/>
    <x v="293"/>
    <s v="nleethem8o@mac.com"/>
    <x v="0"/>
    <x v="0"/>
    <x v="0"/>
    <x v="1"/>
    <n v="5.97"/>
    <n v="5.97"/>
    <x v="0"/>
    <s v="Medium"/>
    <x v="0"/>
  </r>
  <r>
    <s v="JDS-33440-914"/>
    <x v="248"/>
    <s v="58511-10548-ZU"/>
    <s v="R-M-1"/>
    <n v="3"/>
    <x v="294"/>
    <s v="anesfield8p@people.com.cn"/>
    <x v="2"/>
    <x v="0"/>
    <x v="0"/>
    <x v="0"/>
    <n v="9.9499999999999993"/>
    <n v="29.849999999999998"/>
    <x v="0"/>
    <s v="Medium"/>
    <x v="0"/>
  </r>
  <r>
    <s v="SYX-48878-182"/>
    <x v="264"/>
    <s v="47725-34771-FJ"/>
    <s v="R-D-1"/>
    <n v="5"/>
    <x v="295"/>
    <s v=""/>
    <x v="0"/>
    <x v="0"/>
    <x v="2"/>
    <x v="0"/>
    <n v="8.9499999999999993"/>
    <n v="44.75"/>
    <x v="0"/>
    <s v="Dark"/>
    <x v="1"/>
  </r>
  <r>
    <s v="ZGD-94763-868"/>
    <x v="265"/>
    <s v="53086-67334-KT"/>
    <s v="E-L-2.5"/>
    <n v="1"/>
    <x v="296"/>
    <s v="mbrockway8r@ibm.com"/>
    <x v="0"/>
    <x v="1"/>
    <x v="1"/>
    <x v="2"/>
    <n v="34.154999999999994"/>
    <n v="34.154999999999994"/>
    <x v="1"/>
    <s v="Light"/>
    <x v="0"/>
  </r>
  <r>
    <s v="CZY-70361-485"/>
    <x v="266"/>
    <s v="83308-82257-UN"/>
    <s v="E-L-2.5"/>
    <n v="6"/>
    <x v="297"/>
    <s v="nlush8s@dedecms.com"/>
    <x v="1"/>
    <x v="1"/>
    <x v="1"/>
    <x v="2"/>
    <n v="34.154999999999994"/>
    <n v="204.92999999999995"/>
    <x v="1"/>
    <s v="Light"/>
    <x v="1"/>
  </r>
  <r>
    <s v="RJR-12175-899"/>
    <x v="267"/>
    <s v="37274-08534-FM"/>
    <s v="E-D-0.5"/>
    <n v="3"/>
    <x v="298"/>
    <s v="smcmillian8t@csmonitor.com"/>
    <x v="0"/>
    <x v="1"/>
    <x v="2"/>
    <x v="1"/>
    <n v="7.29"/>
    <n v="21.87"/>
    <x v="1"/>
    <s v="Dark"/>
    <x v="1"/>
  </r>
  <r>
    <s v="ELB-07929-407"/>
    <x v="204"/>
    <s v="54004-04664-AA"/>
    <s v="A-M-2.5"/>
    <n v="2"/>
    <x v="299"/>
    <s v="tbennison8u@google.cn"/>
    <x v="0"/>
    <x v="2"/>
    <x v="0"/>
    <x v="2"/>
    <n v="25.874999999999996"/>
    <n v="51.749999999999993"/>
    <x v="2"/>
    <s v="Medium"/>
    <x v="0"/>
  </r>
  <r>
    <s v="UJQ-54441-340"/>
    <x v="268"/>
    <s v="26822-19510-SD"/>
    <s v="E-M-0.2"/>
    <n v="2"/>
    <x v="300"/>
    <s v="gtweed8v@yolasite.com"/>
    <x v="0"/>
    <x v="1"/>
    <x v="0"/>
    <x v="3"/>
    <n v="4.125"/>
    <n v="8.25"/>
    <x v="1"/>
    <s v="Medium"/>
    <x v="0"/>
  </r>
  <r>
    <s v="UJQ-54441-340"/>
    <x v="268"/>
    <s v="26822-19510-SD"/>
    <s v="A-L-0.2"/>
    <n v="5"/>
    <x v="300"/>
    <s v="gtweed8v@yolasite.com"/>
    <x v="0"/>
    <x v="2"/>
    <x v="1"/>
    <x v="3"/>
    <n v="3.8849999999999998"/>
    <n v="19.424999999999997"/>
    <x v="2"/>
    <s v="Light"/>
    <x v="0"/>
  </r>
  <r>
    <s v="OWY-43108-475"/>
    <x v="269"/>
    <s v="06432-73165-ML"/>
    <s v="A-M-0.2"/>
    <n v="6"/>
    <x v="301"/>
    <s v="ggoggin8x@wix.com"/>
    <x v="1"/>
    <x v="2"/>
    <x v="0"/>
    <x v="3"/>
    <n v="3.375"/>
    <n v="20.25"/>
    <x v="2"/>
    <s v="Medium"/>
    <x v="0"/>
  </r>
  <r>
    <s v="GNO-91911-159"/>
    <x v="145"/>
    <s v="96503-31833-CW"/>
    <s v="L-D-0.5"/>
    <n v="3"/>
    <x v="302"/>
    <s v="sjeyness8y@biglobe.ne.jp"/>
    <x v="1"/>
    <x v="3"/>
    <x v="2"/>
    <x v="1"/>
    <n v="7.77"/>
    <n v="23.31"/>
    <x v="3"/>
    <s v="Dark"/>
    <x v="1"/>
  </r>
  <r>
    <s v="CNY-06284-066"/>
    <x v="270"/>
    <s v="63985-64148-MG"/>
    <s v="E-D-0.2"/>
    <n v="5"/>
    <x v="303"/>
    <s v="dbonhome8z@shinystat.com"/>
    <x v="0"/>
    <x v="1"/>
    <x v="2"/>
    <x v="3"/>
    <n v="3.645"/>
    <n v="18.225000000000001"/>
    <x v="1"/>
    <s v="Dark"/>
    <x v="0"/>
  </r>
  <r>
    <s v="OQS-46321-904"/>
    <x v="271"/>
    <s v="19597-91185-CM"/>
    <s v="E-M-1"/>
    <n v="1"/>
    <x v="304"/>
    <s v=""/>
    <x v="0"/>
    <x v="1"/>
    <x v="0"/>
    <x v="0"/>
    <n v="13.75"/>
    <n v="13.75"/>
    <x v="1"/>
    <s v="Medium"/>
    <x v="1"/>
  </r>
  <r>
    <s v="IBW-87442-480"/>
    <x v="272"/>
    <s v="79814-23626-JR"/>
    <s v="A-L-2.5"/>
    <n v="1"/>
    <x v="305"/>
    <s v="tle91@epa.gov"/>
    <x v="0"/>
    <x v="2"/>
    <x v="1"/>
    <x v="2"/>
    <n v="29.784999999999997"/>
    <n v="29.784999999999997"/>
    <x v="2"/>
    <s v="Light"/>
    <x v="0"/>
  </r>
  <r>
    <s v="DGZ-82537-477"/>
    <x v="252"/>
    <s v="43439-94003-DW"/>
    <s v="R-D-1"/>
    <n v="5"/>
    <x v="306"/>
    <s v=""/>
    <x v="0"/>
    <x v="0"/>
    <x v="2"/>
    <x v="0"/>
    <n v="8.9499999999999993"/>
    <n v="44.75"/>
    <x v="0"/>
    <s v="Dark"/>
    <x v="1"/>
  </r>
  <r>
    <s v="LPS-39089-432"/>
    <x v="273"/>
    <s v="97655-45555-LI"/>
    <s v="R-D-1"/>
    <n v="5"/>
    <x v="307"/>
    <s v="balldridge93@yandex.ru"/>
    <x v="0"/>
    <x v="0"/>
    <x v="2"/>
    <x v="0"/>
    <n v="8.9499999999999993"/>
    <n v="44.75"/>
    <x v="0"/>
    <s v="Dark"/>
    <x v="0"/>
  </r>
  <r>
    <s v="MQU-86100-929"/>
    <x v="274"/>
    <s v="64418-01720-VW"/>
    <s v="L-L-0.5"/>
    <n v="4"/>
    <x v="308"/>
    <s v=""/>
    <x v="0"/>
    <x v="3"/>
    <x v="1"/>
    <x v="1"/>
    <n v="9.51"/>
    <n v="38.04"/>
    <x v="3"/>
    <s v="Light"/>
    <x v="0"/>
  </r>
  <r>
    <s v="XUR-14132-391"/>
    <x v="275"/>
    <s v="96836-09258-RI"/>
    <s v="R-D-0.5"/>
    <n v="4"/>
    <x v="309"/>
    <s v="lgoodger95@guardian.co.uk"/>
    <x v="0"/>
    <x v="0"/>
    <x v="2"/>
    <x v="1"/>
    <n v="5.3699999999999992"/>
    <n v="21.479999999999997"/>
    <x v="0"/>
    <s v="Dark"/>
    <x v="0"/>
  </r>
  <r>
    <s v="OVI-27064-381"/>
    <x v="276"/>
    <s v="37274-08534-FM"/>
    <s v="R-D-0.5"/>
    <n v="3"/>
    <x v="298"/>
    <s v="smcmillian8t@csmonitor.com"/>
    <x v="0"/>
    <x v="0"/>
    <x v="2"/>
    <x v="1"/>
    <n v="5.3699999999999992"/>
    <n v="16.11"/>
    <x v="0"/>
    <s v="Dark"/>
    <x v="1"/>
  </r>
  <r>
    <s v="SHP-17012-870"/>
    <x v="277"/>
    <s v="69529-07533-CV"/>
    <s v="R-M-2.5"/>
    <n v="1"/>
    <x v="310"/>
    <s v="cdrewett97@wikipedia.org"/>
    <x v="0"/>
    <x v="0"/>
    <x v="0"/>
    <x v="2"/>
    <n v="22.884999999999998"/>
    <n v="22.884999999999998"/>
    <x v="0"/>
    <s v="Medium"/>
    <x v="0"/>
  </r>
  <r>
    <s v="FDY-03414-903"/>
    <x v="278"/>
    <s v="94840-49457-UD"/>
    <s v="A-D-0.5"/>
    <n v="3"/>
    <x v="311"/>
    <s v="qparsons98@blogtalkradio.com"/>
    <x v="0"/>
    <x v="2"/>
    <x v="2"/>
    <x v="1"/>
    <n v="5.97"/>
    <n v="17.91"/>
    <x v="2"/>
    <s v="Dark"/>
    <x v="0"/>
  </r>
  <r>
    <s v="WXT-85291-143"/>
    <x v="279"/>
    <s v="81414-81273-DK"/>
    <s v="R-M-0.5"/>
    <n v="4"/>
    <x v="312"/>
    <s v="vceely99@auda.org.au"/>
    <x v="0"/>
    <x v="0"/>
    <x v="0"/>
    <x v="1"/>
    <n v="5.97"/>
    <n v="23.88"/>
    <x v="0"/>
    <s v="Medium"/>
    <x v="0"/>
  </r>
  <r>
    <s v="QNP-18893-547"/>
    <x v="280"/>
    <s v="76930-61689-CH"/>
    <s v="R-L-1"/>
    <n v="5"/>
    <x v="313"/>
    <s v=""/>
    <x v="0"/>
    <x v="0"/>
    <x v="1"/>
    <x v="0"/>
    <n v="11.95"/>
    <n v="59.75"/>
    <x v="0"/>
    <s v="Light"/>
    <x v="1"/>
  </r>
  <r>
    <s v="DOH-92927-530"/>
    <x v="281"/>
    <s v="12839-56537-TQ"/>
    <s v="L-L-0.2"/>
    <n v="6"/>
    <x v="314"/>
    <s v="cvasiliev9b@discuz.net"/>
    <x v="0"/>
    <x v="3"/>
    <x v="1"/>
    <x v="3"/>
    <n v="4.7549999999999999"/>
    <n v="28.53"/>
    <x v="3"/>
    <s v="Light"/>
    <x v="0"/>
  </r>
  <r>
    <s v="HGJ-82768-173"/>
    <x v="282"/>
    <s v="62741-01322-HU"/>
    <s v="A-M-1"/>
    <n v="4"/>
    <x v="315"/>
    <s v="tomoylan9c@liveinternet.ru"/>
    <x v="2"/>
    <x v="2"/>
    <x v="0"/>
    <x v="0"/>
    <n v="11.25"/>
    <n v="45"/>
    <x v="2"/>
    <s v="Medium"/>
    <x v="1"/>
  </r>
  <r>
    <s v="YPT-95383-088"/>
    <x v="283"/>
    <s v="43439-94003-DW"/>
    <s v="E-D-2.5"/>
    <n v="2"/>
    <x v="306"/>
    <s v=""/>
    <x v="0"/>
    <x v="1"/>
    <x v="2"/>
    <x v="2"/>
    <n v="27.945"/>
    <n v="55.89"/>
    <x v="1"/>
    <s v="Dark"/>
    <x v="1"/>
  </r>
  <r>
    <s v="OYH-16533-767"/>
    <x v="284"/>
    <s v="44932-34838-RM"/>
    <s v="E-L-1"/>
    <n v="4"/>
    <x v="316"/>
    <s v="wfetherston9e@constantcontact.com"/>
    <x v="0"/>
    <x v="1"/>
    <x v="1"/>
    <x v="0"/>
    <n v="14.85"/>
    <n v="59.4"/>
    <x v="1"/>
    <s v="Light"/>
    <x v="1"/>
  </r>
  <r>
    <s v="DWW-28642-549"/>
    <x v="285"/>
    <s v="91181-19412-RQ"/>
    <s v="E-D-0.2"/>
    <n v="2"/>
    <x v="317"/>
    <s v="erasmus9f@techcrunch.com"/>
    <x v="0"/>
    <x v="1"/>
    <x v="2"/>
    <x v="3"/>
    <n v="3.645"/>
    <n v="7.29"/>
    <x v="1"/>
    <s v="Dark"/>
    <x v="0"/>
  </r>
  <r>
    <s v="CGO-79583-871"/>
    <x v="286"/>
    <s v="37182-54930-XC"/>
    <s v="E-D-0.5"/>
    <n v="1"/>
    <x v="318"/>
    <s v="wgiorgioni9g@wikipedia.org"/>
    <x v="0"/>
    <x v="1"/>
    <x v="2"/>
    <x v="1"/>
    <n v="7.29"/>
    <n v="7.29"/>
    <x v="1"/>
    <s v="Dark"/>
    <x v="0"/>
  </r>
  <r>
    <s v="TFY-52090-386"/>
    <x v="287"/>
    <s v="08613-17327-XT"/>
    <s v="E-L-0.5"/>
    <n v="2"/>
    <x v="319"/>
    <s v="lscargle9h@myspace.com"/>
    <x v="0"/>
    <x v="1"/>
    <x v="1"/>
    <x v="1"/>
    <n v="8.91"/>
    <n v="17.82"/>
    <x v="1"/>
    <s v="Light"/>
    <x v="1"/>
  </r>
  <r>
    <s v="TFY-52090-386"/>
    <x v="287"/>
    <s v="08613-17327-XT"/>
    <s v="L-D-0.5"/>
    <n v="5"/>
    <x v="319"/>
    <s v="lscargle9h@myspace.com"/>
    <x v="0"/>
    <x v="3"/>
    <x v="2"/>
    <x v="1"/>
    <n v="7.77"/>
    <n v="38.849999999999994"/>
    <x v="3"/>
    <s v="Dark"/>
    <x v="1"/>
  </r>
  <r>
    <s v="NYY-73968-094"/>
    <x v="288"/>
    <s v="70451-38048-AH"/>
    <s v="R-D-0.5"/>
    <n v="6"/>
    <x v="320"/>
    <s v="nclimance9j@europa.eu"/>
    <x v="0"/>
    <x v="0"/>
    <x v="2"/>
    <x v="1"/>
    <n v="5.3699999999999992"/>
    <n v="32.22"/>
    <x v="0"/>
    <s v="Dark"/>
    <x v="1"/>
  </r>
  <r>
    <s v="QEY-71761-460"/>
    <x v="250"/>
    <s v="35442-75769-PL"/>
    <s v="R-M-1"/>
    <n v="2"/>
    <x v="321"/>
    <s v=""/>
    <x v="1"/>
    <x v="0"/>
    <x v="0"/>
    <x v="0"/>
    <n v="9.9499999999999993"/>
    <n v="19.899999999999999"/>
    <x v="0"/>
    <s v="Medium"/>
    <x v="0"/>
  </r>
  <r>
    <s v="GKQ-82603-910"/>
    <x v="289"/>
    <s v="83737-56117-JE"/>
    <s v="R-L-1"/>
    <n v="5"/>
    <x v="322"/>
    <s v="asnazle9l@oracle.com"/>
    <x v="0"/>
    <x v="0"/>
    <x v="1"/>
    <x v="0"/>
    <n v="11.95"/>
    <n v="59.75"/>
    <x v="0"/>
    <s v="Light"/>
    <x v="1"/>
  </r>
  <r>
    <s v="IOB-32673-745"/>
    <x v="290"/>
    <s v="07095-81281-NJ"/>
    <s v="A-L-0.5"/>
    <n v="3"/>
    <x v="323"/>
    <s v="rworg9m@arstechnica.com"/>
    <x v="0"/>
    <x v="2"/>
    <x v="1"/>
    <x v="1"/>
    <n v="7.77"/>
    <n v="23.31"/>
    <x v="2"/>
    <s v="Light"/>
    <x v="0"/>
  </r>
  <r>
    <s v="YAU-98893-150"/>
    <x v="291"/>
    <s v="77043-48851-HG"/>
    <s v="L-M-1"/>
    <n v="3"/>
    <x v="324"/>
    <s v="ldanes9n@umn.edu"/>
    <x v="0"/>
    <x v="3"/>
    <x v="0"/>
    <x v="0"/>
    <n v="14.55"/>
    <n v="43.650000000000006"/>
    <x v="3"/>
    <s v="Medium"/>
    <x v="1"/>
  </r>
  <r>
    <s v="XNM-14163-951"/>
    <x v="292"/>
    <s v="78224-60622-KH"/>
    <s v="E-L-2.5"/>
    <n v="6"/>
    <x v="325"/>
    <s v="skeynd9o@narod.ru"/>
    <x v="0"/>
    <x v="1"/>
    <x v="1"/>
    <x v="2"/>
    <n v="34.154999999999994"/>
    <n v="204.92999999999995"/>
    <x v="1"/>
    <s v="Light"/>
    <x v="1"/>
  </r>
  <r>
    <s v="JPB-45297-000"/>
    <x v="293"/>
    <s v="83105-86631-IU"/>
    <s v="R-L-0.2"/>
    <n v="4"/>
    <x v="326"/>
    <s v="ddaveridge9p@arstechnica.com"/>
    <x v="0"/>
    <x v="0"/>
    <x v="1"/>
    <x v="3"/>
    <n v="3.5849999999999995"/>
    <n v="14.339999999999998"/>
    <x v="0"/>
    <s v="Light"/>
    <x v="1"/>
  </r>
  <r>
    <s v="MOU-74341-266"/>
    <x v="294"/>
    <s v="99358-65399-TC"/>
    <s v="A-D-0.5"/>
    <n v="4"/>
    <x v="327"/>
    <s v="jawdry9q@utexas.edu"/>
    <x v="0"/>
    <x v="2"/>
    <x v="2"/>
    <x v="1"/>
    <n v="5.97"/>
    <n v="23.88"/>
    <x v="2"/>
    <s v="Dark"/>
    <x v="1"/>
  </r>
  <r>
    <s v="DHJ-87461-571"/>
    <x v="295"/>
    <s v="94525-76037-JP"/>
    <s v="A-M-1"/>
    <n v="2"/>
    <x v="328"/>
    <s v="eryles9r@fastcompany.com"/>
    <x v="0"/>
    <x v="2"/>
    <x v="0"/>
    <x v="0"/>
    <n v="11.25"/>
    <n v="22.5"/>
    <x v="2"/>
    <s v="Medium"/>
    <x v="1"/>
  </r>
  <r>
    <s v="DKM-97676-850"/>
    <x v="296"/>
    <s v="43439-94003-DW"/>
    <s v="E-D-0.5"/>
    <n v="5"/>
    <x v="306"/>
    <s v=""/>
    <x v="0"/>
    <x v="1"/>
    <x v="2"/>
    <x v="1"/>
    <n v="7.29"/>
    <n v="36.450000000000003"/>
    <x v="1"/>
    <s v="Dark"/>
    <x v="1"/>
  </r>
  <r>
    <s v="UEB-09112-118"/>
    <x v="297"/>
    <s v="82718-93677-XO"/>
    <s v="A-M-0.5"/>
    <n v="4"/>
    <x v="329"/>
    <s v=""/>
    <x v="0"/>
    <x v="2"/>
    <x v="0"/>
    <x v="1"/>
    <n v="6.75"/>
    <n v="27"/>
    <x v="2"/>
    <s v="Medium"/>
    <x v="0"/>
  </r>
  <r>
    <s v="ORZ-67699-748"/>
    <x v="298"/>
    <s v="44708-78241-DF"/>
    <s v="A-M-2.5"/>
    <n v="6"/>
    <x v="330"/>
    <s v="jcaldicott9u@usda.gov"/>
    <x v="0"/>
    <x v="2"/>
    <x v="0"/>
    <x v="2"/>
    <n v="25.874999999999996"/>
    <n v="155.24999999999997"/>
    <x v="2"/>
    <s v="Medium"/>
    <x v="1"/>
  </r>
  <r>
    <s v="JXP-28398-485"/>
    <x v="299"/>
    <s v="23039-93032-FN"/>
    <s v="A-D-2.5"/>
    <n v="5"/>
    <x v="331"/>
    <s v="mvedmore9v@a8.net"/>
    <x v="0"/>
    <x v="2"/>
    <x v="2"/>
    <x v="2"/>
    <n v="22.884999999999998"/>
    <n v="114.42499999999998"/>
    <x v="2"/>
    <s v="Dark"/>
    <x v="0"/>
  </r>
  <r>
    <s v="WWH-92259-198"/>
    <x v="300"/>
    <s v="35256-12529-FT"/>
    <s v="L-D-1"/>
    <n v="4"/>
    <x v="332"/>
    <s v="wromao9w@chronoengine.com"/>
    <x v="0"/>
    <x v="3"/>
    <x v="2"/>
    <x v="0"/>
    <n v="12.95"/>
    <n v="51.8"/>
    <x v="3"/>
    <s v="Dark"/>
    <x v="0"/>
  </r>
  <r>
    <s v="FLR-82914-153"/>
    <x v="301"/>
    <s v="86100-33488-WP"/>
    <s v="A-M-2.5"/>
    <n v="6"/>
    <x v="333"/>
    <s v=""/>
    <x v="0"/>
    <x v="2"/>
    <x v="0"/>
    <x v="2"/>
    <n v="25.874999999999996"/>
    <n v="155.24999999999997"/>
    <x v="2"/>
    <s v="Medium"/>
    <x v="1"/>
  </r>
  <r>
    <s v="AMB-93600-000"/>
    <x v="302"/>
    <s v="64435-53100-WM"/>
    <s v="A-L-2.5"/>
    <n v="1"/>
    <x v="334"/>
    <s v="tcotmore9y@amazonaws.com"/>
    <x v="0"/>
    <x v="2"/>
    <x v="1"/>
    <x v="2"/>
    <n v="29.784999999999997"/>
    <n v="29.784999999999997"/>
    <x v="2"/>
    <s v="Light"/>
    <x v="1"/>
  </r>
  <r>
    <s v="FEP-36895-658"/>
    <x v="303"/>
    <s v="44699-43836-UH"/>
    <s v="R-L-0.2"/>
    <n v="6"/>
    <x v="335"/>
    <s v="yskipsey9z@spotify.com"/>
    <x v="2"/>
    <x v="0"/>
    <x v="1"/>
    <x v="3"/>
    <n v="3.5849999999999995"/>
    <n v="21.509999999999998"/>
    <x v="0"/>
    <s v="Light"/>
    <x v="1"/>
  </r>
  <r>
    <s v="RXW-91413-276"/>
    <x v="304"/>
    <s v="29588-35679-RG"/>
    <s v="R-D-2.5"/>
    <n v="2"/>
    <x v="336"/>
    <s v="ncorpsa0@gmpg.org"/>
    <x v="0"/>
    <x v="0"/>
    <x v="2"/>
    <x v="2"/>
    <n v="20.584999999999997"/>
    <n v="41.169999999999995"/>
    <x v="0"/>
    <s v="Dark"/>
    <x v="1"/>
  </r>
  <r>
    <s v="RXW-91413-276"/>
    <x v="304"/>
    <s v="29588-35679-RG"/>
    <s v="R-M-0.5"/>
    <n v="1"/>
    <x v="336"/>
    <s v="ncorpsa0@gmpg.org"/>
    <x v="0"/>
    <x v="0"/>
    <x v="0"/>
    <x v="1"/>
    <n v="5.97"/>
    <n v="5.97"/>
    <x v="0"/>
    <s v="Medium"/>
    <x v="1"/>
  </r>
  <r>
    <s v="SDB-77492-188"/>
    <x v="305"/>
    <s v="64815-54078-HH"/>
    <s v="E-L-1"/>
    <n v="5"/>
    <x v="337"/>
    <s v="fbabbera2@stanford.edu"/>
    <x v="0"/>
    <x v="1"/>
    <x v="1"/>
    <x v="0"/>
    <n v="14.85"/>
    <n v="74.25"/>
    <x v="1"/>
    <s v="Light"/>
    <x v="0"/>
  </r>
  <r>
    <s v="RZN-65182-395"/>
    <x v="196"/>
    <s v="59572-41990-XY"/>
    <s v="L-M-1"/>
    <n v="6"/>
    <x v="338"/>
    <s v="kloxtona3@opensource.org"/>
    <x v="0"/>
    <x v="3"/>
    <x v="0"/>
    <x v="0"/>
    <n v="14.55"/>
    <n v="87.300000000000011"/>
    <x v="3"/>
    <s v="Medium"/>
    <x v="1"/>
  </r>
  <r>
    <s v="HDQ-86094-507"/>
    <x v="110"/>
    <s v="32481-61533-ZJ"/>
    <s v="E-D-1"/>
    <n v="6"/>
    <x v="339"/>
    <s v="ptoffula4@posterous.com"/>
    <x v="0"/>
    <x v="1"/>
    <x v="2"/>
    <x v="0"/>
    <n v="12.15"/>
    <n v="72.900000000000006"/>
    <x v="1"/>
    <s v="Dark"/>
    <x v="0"/>
  </r>
  <r>
    <s v="YXO-79631-417"/>
    <x v="24"/>
    <s v="31587-92570-HL"/>
    <s v="L-D-0.5"/>
    <n v="1"/>
    <x v="340"/>
    <s v="cgwinnetta5@behance.net"/>
    <x v="0"/>
    <x v="3"/>
    <x v="2"/>
    <x v="1"/>
    <n v="7.77"/>
    <n v="7.77"/>
    <x v="3"/>
    <s v="Dark"/>
    <x v="1"/>
  </r>
  <r>
    <s v="SNF-57032-096"/>
    <x v="306"/>
    <s v="93832-04799-ID"/>
    <s v="E-D-0.5"/>
    <n v="6"/>
    <x v="341"/>
    <s v=""/>
    <x v="0"/>
    <x v="1"/>
    <x v="2"/>
    <x v="1"/>
    <n v="7.29"/>
    <n v="43.74"/>
    <x v="1"/>
    <s v="Dark"/>
    <x v="1"/>
  </r>
  <r>
    <s v="DGL-29648-995"/>
    <x v="307"/>
    <s v="59367-30821-ZQ"/>
    <s v="L-M-0.2"/>
    <n v="2"/>
    <x v="342"/>
    <s v=""/>
    <x v="0"/>
    <x v="3"/>
    <x v="0"/>
    <x v="3"/>
    <n v="4.3650000000000002"/>
    <n v="8.73"/>
    <x v="3"/>
    <s v="Medium"/>
    <x v="0"/>
  </r>
  <r>
    <s v="GPU-65651-504"/>
    <x v="308"/>
    <s v="83947-45528-ET"/>
    <s v="E-M-2.5"/>
    <n v="2"/>
    <x v="343"/>
    <s v="lflaoniera8@wordpress.org"/>
    <x v="0"/>
    <x v="1"/>
    <x v="0"/>
    <x v="2"/>
    <n v="31.624999999999996"/>
    <n v="63.249999999999993"/>
    <x v="1"/>
    <s v="Medium"/>
    <x v="1"/>
  </r>
  <r>
    <s v="OJU-34452-896"/>
    <x v="309"/>
    <s v="60799-92593-CX"/>
    <s v="E-L-0.5"/>
    <n v="1"/>
    <x v="344"/>
    <s v=""/>
    <x v="0"/>
    <x v="1"/>
    <x v="1"/>
    <x v="1"/>
    <n v="8.91"/>
    <n v="8.91"/>
    <x v="1"/>
    <s v="Light"/>
    <x v="0"/>
  </r>
  <r>
    <s v="GZS-50547-887"/>
    <x v="310"/>
    <s v="61600-55136-UM"/>
    <s v="E-D-1"/>
    <n v="2"/>
    <x v="345"/>
    <s v="ccatchesideaa@macromedia.com"/>
    <x v="0"/>
    <x v="1"/>
    <x v="2"/>
    <x v="0"/>
    <n v="12.15"/>
    <n v="24.3"/>
    <x v="1"/>
    <s v="Dark"/>
    <x v="0"/>
  </r>
  <r>
    <s v="ESR-54041-053"/>
    <x v="311"/>
    <s v="59771-90302-OF"/>
    <s v="A-L-0.5"/>
    <n v="6"/>
    <x v="346"/>
    <s v="cgibbonsonab@accuweather.com"/>
    <x v="0"/>
    <x v="2"/>
    <x v="1"/>
    <x v="1"/>
    <n v="7.77"/>
    <n v="46.62"/>
    <x v="2"/>
    <s v="Light"/>
    <x v="0"/>
  </r>
  <r>
    <s v="OGD-10781-526"/>
    <x v="132"/>
    <s v="16880-78077-FB"/>
    <s v="R-L-0.5"/>
    <n v="6"/>
    <x v="347"/>
    <s v="tfarraac@behance.net"/>
    <x v="0"/>
    <x v="0"/>
    <x v="1"/>
    <x v="1"/>
    <n v="7.169999999999999"/>
    <n v="43.019999999999996"/>
    <x v="0"/>
    <s v="Light"/>
    <x v="1"/>
  </r>
  <r>
    <s v="FVH-29271-315"/>
    <x v="312"/>
    <s v="74415-50873-FC"/>
    <s v="A-D-0.5"/>
    <n v="3"/>
    <x v="348"/>
    <s v=""/>
    <x v="1"/>
    <x v="2"/>
    <x v="2"/>
    <x v="1"/>
    <n v="5.97"/>
    <n v="17.91"/>
    <x v="2"/>
    <s v="Dark"/>
    <x v="0"/>
  </r>
  <r>
    <s v="BNZ-20544-633"/>
    <x v="313"/>
    <s v="31798-95707-NR"/>
    <s v="L-L-0.5"/>
    <n v="4"/>
    <x v="349"/>
    <s v="gbamfieldae@yellowpages.com"/>
    <x v="0"/>
    <x v="3"/>
    <x v="1"/>
    <x v="1"/>
    <n v="9.51"/>
    <n v="38.04"/>
    <x v="3"/>
    <s v="Light"/>
    <x v="0"/>
  </r>
  <r>
    <s v="FUX-85791-078"/>
    <x v="156"/>
    <s v="59122-08794-WT"/>
    <s v="A-M-0.2"/>
    <n v="2"/>
    <x v="350"/>
    <s v="whollingdaleaf@about.me"/>
    <x v="0"/>
    <x v="2"/>
    <x v="0"/>
    <x v="3"/>
    <n v="3.375"/>
    <n v="6.75"/>
    <x v="2"/>
    <s v="Medium"/>
    <x v="0"/>
  </r>
  <r>
    <s v="YXP-20078-116"/>
    <x v="314"/>
    <s v="37238-52421-JJ"/>
    <s v="R-M-0.5"/>
    <n v="1"/>
    <x v="351"/>
    <s v="jdeag@xrea.com"/>
    <x v="0"/>
    <x v="0"/>
    <x v="0"/>
    <x v="1"/>
    <n v="5.97"/>
    <n v="5.97"/>
    <x v="0"/>
    <s v="Medium"/>
    <x v="0"/>
  </r>
  <r>
    <s v="VQV-59984-866"/>
    <x v="315"/>
    <s v="48854-01899-FN"/>
    <s v="R-D-0.2"/>
    <n v="3"/>
    <x v="352"/>
    <s v="vskulletah@tinyurl.com"/>
    <x v="1"/>
    <x v="0"/>
    <x v="2"/>
    <x v="3"/>
    <n v="2.6849999999999996"/>
    <n v="8.0549999999999997"/>
    <x v="0"/>
    <s v="Dark"/>
    <x v="1"/>
  </r>
  <r>
    <s v="JEH-37276-048"/>
    <x v="316"/>
    <s v="80896-38819-DW"/>
    <s v="A-L-0.5"/>
    <n v="3"/>
    <x v="353"/>
    <s v="jrudeforthai@wunderground.com"/>
    <x v="1"/>
    <x v="2"/>
    <x v="1"/>
    <x v="1"/>
    <n v="7.77"/>
    <n v="23.31"/>
    <x v="2"/>
    <s v="Light"/>
    <x v="0"/>
  </r>
  <r>
    <s v="VYD-28555-589"/>
    <x v="317"/>
    <s v="29814-01459-RC"/>
    <s v="R-L-0.5"/>
    <n v="6"/>
    <x v="354"/>
    <s v="atomaszewskiaj@answers.com"/>
    <x v="2"/>
    <x v="0"/>
    <x v="1"/>
    <x v="1"/>
    <n v="7.169999999999999"/>
    <n v="43.019999999999996"/>
    <x v="0"/>
    <s v="Light"/>
    <x v="0"/>
  </r>
  <r>
    <s v="WUG-76466-650"/>
    <x v="318"/>
    <s v="43439-94003-DW"/>
    <s v="L-D-0.5"/>
    <n v="3"/>
    <x v="306"/>
    <s v=""/>
    <x v="0"/>
    <x v="3"/>
    <x v="2"/>
    <x v="1"/>
    <n v="7.77"/>
    <n v="23.31"/>
    <x v="3"/>
    <s v="Dark"/>
    <x v="1"/>
  </r>
  <r>
    <s v="RJV-08261-583"/>
    <x v="182"/>
    <s v="48497-29281-FE"/>
    <s v="A-D-0.2"/>
    <n v="5"/>
    <x v="355"/>
    <s v="pbessal@qq.com"/>
    <x v="0"/>
    <x v="2"/>
    <x v="2"/>
    <x v="3"/>
    <n v="2.9849999999999999"/>
    <n v="14.924999999999999"/>
    <x v="2"/>
    <s v="Dark"/>
    <x v="0"/>
  </r>
  <r>
    <s v="PMR-56062-609"/>
    <x v="319"/>
    <s v="43605-12616-YH"/>
    <s v="E-D-0.5"/>
    <n v="3"/>
    <x v="356"/>
    <s v="ewindressam@marketwatch.com"/>
    <x v="0"/>
    <x v="1"/>
    <x v="2"/>
    <x v="1"/>
    <n v="7.29"/>
    <n v="21.87"/>
    <x v="1"/>
    <s v="Dark"/>
    <x v="1"/>
  </r>
  <r>
    <s v="XLD-12920-505"/>
    <x v="320"/>
    <s v="21907-75962-VB"/>
    <s v="E-L-0.5"/>
    <n v="6"/>
    <x v="357"/>
    <s v=""/>
    <x v="0"/>
    <x v="1"/>
    <x v="1"/>
    <x v="1"/>
    <n v="8.91"/>
    <n v="53.46"/>
    <x v="1"/>
    <s v="Light"/>
    <x v="0"/>
  </r>
  <r>
    <s v="UBW-50312-037"/>
    <x v="321"/>
    <s v="69503-12127-YD"/>
    <s v="A-L-2.5"/>
    <n v="4"/>
    <x v="358"/>
    <s v=""/>
    <x v="0"/>
    <x v="2"/>
    <x v="1"/>
    <x v="2"/>
    <n v="29.784999999999997"/>
    <n v="119.13999999999999"/>
    <x v="2"/>
    <s v="Light"/>
    <x v="1"/>
  </r>
  <r>
    <s v="QAW-05889-019"/>
    <x v="322"/>
    <s v="68810-07329-EU"/>
    <s v="L-M-0.5"/>
    <n v="5"/>
    <x v="359"/>
    <s v="vbaumadierap@google.cn"/>
    <x v="0"/>
    <x v="3"/>
    <x v="0"/>
    <x v="1"/>
    <n v="8.73"/>
    <n v="43.650000000000006"/>
    <x v="3"/>
    <s v="Medium"/>
    <x v="0"/>
  </r>
  <r>
    <s v="EPT-12715-397"/>
    <x v="128"/>
    <s v="08478-75251-OG"/>
    <s v="A-D-0.2"/>
    <n v="6"/>
    <x v="360"/>
    <s v=""/>
    <x v="0"/>
    <x v="2"/>
    <x v="2"/>
    <x v="3"/>
    <n v="2.9849999999999999"/>
    <n v="17.91"/>
    <x v="2"/>
    <s v="Dark"/>
    <x v="0"/>
  </r>
  <r>
    <s v="DHT-93810-053"/>
    <x v="323"/>
    <s v="17005-82030-EA"/>
    <s v="E-L-1"/>
    <n v="5"/>
    <x v="361"/>
    <s v="sweldsar@wired.com"/>
    <x v="0"/>
    <x v="1"/>
    <x v="1"/>
    <x v="0"/>
    <n v="14.85"/>
    <n v="74.25"/>
    <x v="1"/>
    <s v="Light"/>
    <x v="0"/>
  </r>
  <r>
    <s v="DMY-96037-963"/>
    <x v="324"/>
    <s v="42179-95059-DO"/>
    <s v="L-D-0.2"/>
    <n v="3"/>
    <x v="362"/>
    <s v="msarvaras@artisteer.com"/>
    <x v="0"/>
    <x v="3"/>
    <x v="2"/>
    <x v="3"/>
    <n v="3.8849999999999998"/>
    <n v="11.654999999999999"/>
    <x v="3"/>
    <s v="Dark"/>
    <x v="0"/>
  </r>
  <r>
    <s v="MBM-55936-917"/>
    <x v="325"/>
    <s v="55989-39849-WO"/>
    <s v="L-D-0.5"/>
    <n v="3"/>
    <x v="363"/>
    <s v="ahavickat@nsw.gov.au"/>
    <x v="0"/>
    <x v="3"/>
    <x v="2"/>
    <x v="1"/>
    <n v="7.77"/>
    <n v="23.31"/>
    <x v="3"/>
    <s v="Dark"/>
    <x v="0"/>
  </r>
  <r>
    <s v="TPA-93614-840"/>
    <x v="326"/>
    <s v="28932-49296-TM"/>
    <s v="E-D-0.5"/>
    <n v="2"/>
    <x v="364"/>
    <s v="sdivinyau@ask.com"/>
    <x v="0"/>
    <x v="1"/>
    <x v="2"/>
    <x v="1"/>
    <n v="7.29"/>
    <n v="14.58"/>
    <x v="1"/>
    <s v="Dark"/>
    <x v="0"/>
  </r>
  <r>
    <s v="WDM-77521-710"/>
    <x v="327"/>
    <s v="86144-10144-CB"/>
    <s v="A-M-0.5"/>
    <n v="2"/>
    <x v="365"/>
    <s v="inorquoyav@businessweek.com"/>
    <x v="0"/>
    <x v="2"/>
    <x v="0"/>
    <x v="1"/>
    <n v="6.75"/>
    <n v="13.5"/>
    <x v="2"/>
    <s v="Medium"/>
    <x v="1"/>
  </r>
  <r>
    <s v="EIP-19142-462"/>
    <x v="328"/>
    <s v="60973-72562-DQ"/>
    <s v="E-L-1"/>
    <n v="6"/>
    <x v="366"/>
    <s v="aiddisonaw@usa.gov"/>
    <x v="0"/>
    <x v="1"/>
    <x v="1"/>
    <x v="0"/>
    <n v="14.85"/>
    <n v="89.1"/>
    <x v="1"/>
    <s v="Light"/>
    <x v="1"/>
  </r>
  <r>
    <s v="EIP-19142-462"/>
    <x v="328"/>
    <s v="60973-72562-DQ"/>
    <s v="A-L-0.2"/>
    <n v="1"/>
    <x v="366"/>
    <s v="aiddisonaw@usa.gov"/>
    <x v="0"/>
    <x v="2"/>
    <x v="1"/>
    <x v="3"/>
    <n v="3.8849999999999998"/>
    <n v="3.8849999999999998"/>
    <x v="2"/>
    <s v="Light"/>
    <x v="1"/>
  </r>
  <r>
    <s v="ZZL-76364-387"/>
    <x v="128"/>
    <s v="11263-86515-VU"/>
    <s v="R-L-2.5"/>
    <n v="4"/>
    <x v="367"/>
    <s v="rlongfielday@bluehost.com"/>
    <x v="0"/>
    <x v="0"/>
    <x v="1"/>
    <x v="2"/>
    <n v="27.484999999999996"/>
    <n v="109.93999999999998"/>
    <x v="0"/>
    <s v="Light"/>
    <x v="1"/>
  </r>
  <r>
    <s v="GMF-18638-786"/>
    <x v="329"/>
    <s v="60004-62976-NI"/>
    <s v="L-D-0.5"/>
    <n v="6"/>
    <x v="368"/>
    <s v="gkislingburyaz@samsung.com"/>
    <x v="0"/>
    <x v="3"/>
    <x v="2"/>
    <x v="1"/>
    <n v="7.77"/>
    <n v="46.62"/>
    <x v="3"/>
    <s v="Dark"/>
    <x v="0"/>
  </r>
  <r>
    <s v="TDJ-20844-787"/>
    <x v="330"/>
    <s v="77876-28498-HI"/>
    <s v="A-L-0.5"/>
    <n v="5"/>
    <x v="369"/>
    <s v="xgibbonsb0@artisteer.com"/>
    <x v="0"/>
    <x v="2"/>
    <x v="1"/>
    <x v="1"/>
    <n v="7.77"/>
    <n v="38.849999999999994"/>
    <x v="2"/>
    <s v="Light"/>
    <x v="1"/>
  </r>
  <r>
    <s v="BWK-39400-446"/>
    <x v="331"/>
    <s v="61302-06948-EH"/>
    <s v="L-D-0.5"/>
    <n v="4"/>
    <x v="370"/>
    <s v="fparresb1@imageshack.us"/>
    <x v="0"/>
    <x v="3"/>
    <x v="2"/>
    <x v="1"/>
    <n v="7.77"/>
    <n v="31.08"/>
    <x v="3"/>
    <s v="Dark"/>
    <x v="0"/>
  </r>
  <r>
    <s v="LCB-02099-995"/>
    <x v="332"/>
    <s v="06757-96251-UH"/>
    <s v="A-D-0.2"/>
    <n v="6"/>
    <x v="371"/>
    <s v="gsibrayb2@wsj.com"/>
    <x v="0"/>
    <x v="2"/>
    <x v="2"/>
    <x v="3"/>
    <n v="2.9849999999999999"/>
    <n v="17.91"/>
    <x v="2"/>
    <s v="Dark"/>
    <x v="0"/>
  </r>
  <r>
    <s v="UBA-43678-174"/>
    <x v="333"/>
    <s v="44530-75983-OD"/>
    <s v="E-D-2.5"/>
    <n v="6"/>
    <x v="372"/>
    <s v="ihotchkinb3@mit.edu"/>
    <x v="2"/>
    <x v="1"/>
    <x v="2"/>
    <x v="2"/>
    <n v="27.945"/>
    <n v="167.67000000000002"/>
    <x v="1"/>
    <s v="Dark"/>
    <x v="1"/>
  </r>
  <r>
    <s v="UDH-24280-432"/>
    <x v="334"/>
    <s v="44865-58249-RY"/>
    <s v="L-L-1"/>
    <n v="4"/>
    <x v="373"/>
    <s v="nbroadberrieb4@gnu.org"/>
    <x v="0"/>
    <x v="3"/>
    <x v="1"/>
    <x v="0"/>
    <n v="15.85"/>
    <n v="63.4"/>
    <x v="3"/>
    <s v="Light"/>
    <x v="1"/>
  </r>
  <r>
    <s v="IDQ-20193-502"/>
    <x v="335"/>
    <s v="36021-61205-DF"/>
    <s v="L-M-0.2"/>
    <n v="2"/>
    <x v="374"/>
    <s v="rpithcockb5@yellowbook.com"/>
    <x v="0"/>
    <x v="3"/>
    <x v="0"/>
    <x v="3"/>
    <n v="4.3650000000000002"/>
    <n v="8.73"/>
    <x v="3"/>
    <s v="Medium"/>
    <x v="0"/>
  </r>
  <r>
    <s v="DJG-14442-608"/>
    <x v="336"/>
    <s v="75716-12782-SS"/>
    <s v="R-D-1"/>
    <n v="3"/>
    <x v="375"/>
    <s v="gcroysdaleb6@nih.gov"/>
    <x v="0"/>
    <x v="0"/>
    <x v="2"/>
    <x v="0"/>
    <n v="8.9499999999999993"/>
    <n v="26.849999999999998"/>
    <x v="0"/>
    <s v="Dark"/>
    <x v="0"/>
  </r>
  <r>
    <s v="DWB-61381-370"/>
    <x v="337"/>
    <s v="11812-00461-KH"/>
    <s v="L-L-0.2"/>
    <n v="2"/>
    <x v="376"/>
    <s v="bgozzettb7@github.com"/>
    <x v="0"/>
    <x v="3"/>
    <x v="1"/>
    <x v="3"/>
    <n v="4.7549999999999999"/>
    <n v="9.51"/>
    <x v="3"/>
    <s v="Light"/>
    <x v="1"/>
  </r>
  <r>
    <s v="FRD-17347-990"/>
    <x v="80"/>
    <s v="46681-78850-ZW"/>
    <s v="A-D-1"/>
    <n v="4"/>
    <x v="377"/>
    <s v="tcraggsb8@house.gov"/>
    <x v="1"/>
    <x v="2"/>
    <x v="2"/>
    <x v="0"/>
    <n v="9.9499999999999993"/>
    <n v="39.799999999999997"/>
    <x v="2"/>
    <s v="Dark"/>
    <x v="1"/>
  </r>
  <r>
    <s v="YPP-27450-525"/>
    <x v="338"/>
    <s v="01932-87052-KO"/>
    <s v="E-M-0.5"/>
    <n v="3"/>
    <x v="378"/>
    <s v="lcullrfordb9@xing.com"/>
    <x v="0"/>
    <x v="1"/>
    <x v="0"/>
    <x v="1"/>
    <n v="8.25"/>
    <n v="24.75"/>
    <x v="1"/>
    <s v="Medium"/>
    <x v="0"/>
  </r>
  <r>
    <s v="EFC-39577-424"/>
    <x v="339"/>
    <s v="16046-34805-ZF"/>
    <s v="E-M-1"/>
    <n v="5"/>
    <x v="379"/>
    <s v="arizonba@xing.com"/>
    <x v="0"/>
    <x v="1"/>
    <x v="0"/>
    <x v="0"/>
    <n v="13.75"/>
    <n v="68.75"/>
    <x v="1"/>
    <s v="Medium"/>
    <x v="0"/>
  </r>
  <r>
    <s v="LAW-80062-016"/>
    <x v="340"/>
    <s v="34546-70516-LR"/>
    <s v="E-M-0.5"/>
    <n v="6"/>
    <x v="380"/>
    <s v=""/>
    <x v="1"/>
    <x v="1"/>
    <x v="0"/>
    <x v="1"/>
    <n v="8.25"/>
    <n v="49.5"/>
    <x v="1"/>
    <s v="Medium"/>
    <x v="1"/>
  </r>
  <r>
    <s v="WKL-27981-758"/>
    <x v="177"/>
    <s v="73699-93557-FZ"/>
    <s v="A-M-2.5"/>
    <n v="2"/>
    <x v="381"/>
    <s v="fmiellbc@spiegel.de"/>
    <x v="0"/>
    <x v="2"/>
    <x v="0"/>
    <x v="2"/>
    <n v="25.874999999999996"/>
    <n v="51.749999999999993"/>
    <x v="2"/>
    <s v="Medium"/>
    <x v="0"/>
  </r>
  <r>
    <s v="VRT-39834-265"/>
    <x v="341"/>
    <s v="86686-37462-CK"/>
    <s v="L-L-1"/>
    <n v="3"/>
    <x v="382"/>
    <s v=""/>
    <x v="1"/>
    <x v="3"/>
    <x v="1"/>
    <x v="0"/>
    <n v="15.85"/>
    <n v="47.55"/>
    <x v="3"/>
    <s v="Light"/>
    <x v="0"/>
  </r>
  <r>
    <s v="QTC-71005-730"/>
    <x v="342"/>
    <s v="14298-02150-KH"/>
    <s v="A-L-0.2"/>
    <n v="4"/>
    <x v="383"/>
    <s v=""/>
    <x v="0"/>
    <x v="2"/>
    <x v="1"/>
    <x v="3"/>
    <n v="3.8849999999999998"/>
    <n v="15.54"/>
    <x v="2"/>
    <s v="Light"/>
    <x v="1"/>
  </r>
  <r>
    <s v="TNX-09857-717"/>
    <x v="343"/>
    <s v="48675-07824-HJ"/>
    <s v="L-M-1"/>
    <n v="6"/>
    <x v="384"/>
    <s v=""/>
    <x v="0"/>
    <x v="3"/>
    <x v="0"/>
    <x v="0"/>
    <n v="14.55"/>
    <n v="87.300000000000011"/>
    <x v="3"/>
    <s v="Medium"/>
    <x v="0"/>
  </r>
  <r>
    <s v="JZV-43874-185"/>
    <x v="344"/>
    <s v="18551-80943-YQ"/>
    <s v="A-M-1"/>
    <n v="5"/>
    <x v="385"/>
    <s v=""/>
    <x v="0"/>
    <x v="2"/>
    <x v="0"/>
    <x v="0"/>
    <n v="11.25"/>
    <n v="56.25"/>
    <x v="2"/>
    <s v="Medium"/>
    <x v="0"/>
  </r>
  <r>
    <s v="ICF-17486-106"/>
    <x v="47"/>
    <s v="19196-09748-DB"/>
    <s v="L-L-2.5"/>
    <n v="1"/>
    <x v="386"/>
    <s v="wspringallbh@jugem.jp"/>
    <x v="0"/>
    <x v="3"/>
    <x v="1"/>
    <x v="2"/>
    <n v="36.454999999999998"/>
    <n v="36.454999999999998"/>
    <x v="3"/>
    <s v="Light"/>
    <x v="0"/>
  </r>
  <r>
    <s v="BMK-49520-383"/>
    <x v="345"/>
    <s v="72233-08665-IP"/>
    <s v="R-L-0.2"/>
    <n v="3"/>
    <x v="387"/>
    <s v=""/>
    <x v="0"/>
    <x v="0"/>
    <x v="1"/>
    <x v="3"/>
    <n v="3.5849999999999995"/>
    <n v="10.754999999999999"/>
    <x v="0"/>
    <s v="Light"/>
    <x v="0"/>
  </r>
  <r>
    <s v="HTS-15020-632"/>
    <x v="169"/>
    <s v="53817-13148-RK"/>
    <s v="R-M-0.2"/>
    <n v="3"/>
    <x v="388"/>
    <s v="ghawkyensbj@census.gov"/>
    <x v="0"/>
    <x v="0"/>
    <x v="0"/>
    <x v="3"/>
    <n v="2.9849999999999999"/>
    <n v="8.9550000000000001"/>
    <x v="0"/>
    <s v="Medium"/>
    <x v="1"/>
  </r>
  <r>
    <s v="YLE-18247-749"/>
    <x v="346"/>
    <s v="92227-49331-QR"/>
    <s v="A-L-0.5"/>
    <n v="3"/>
    <x v="389"/>
    <s v=""/>
    <x v="0"/>
    <x v="2"/>
    <x v="1"/>
    <x v="1"/>
    <n v="7.77"/>
    <n v="23.31"/>
    <x v="2"/>
    <s v="Light"/>
    <x v="0"/>
  </r>
  <r>
    <s v="KJJ-12573-591"/>
    <x v="347"/>
    <s v="12997-41076-FQ"/>
    <s v="A-L-2.5"/>
    <n v="1"/>
    <x v="390"/>
    <s v=""/>
    <x v="0"/>
    <x v="2"/>
    <x v="1"/>
    <x v="2"/>
    <n v="29.784999999999997"/>
    <n v="29.784999999999997"/>
    <x v="2"/>
    <s v="Light"/>
    <x v="0"/>
  </r>
  <r>
    <s v="RGU-43561-950"/>
    <x v="348"/>
    <s v="44220-00348-MB"/>
    <s v="A-L-2.5"/>
    <n v="5"/>
    <x v="391"/>
    <s v="bmcgilvrabm@so-net.ne.jp"/>
    <x v="0"/>
    <x v="2"/>
    <x v="1"/>
    <x v="2"/>
    <n v="29.784999999999997"/>
    <n v="148.92499999999998"/>
    <x v="2"/>
    <s v="Light"/>
    <x v="0"/>
  </r>
  <r>
    <s v="JSN-73975-443"/>
    <x v="349"/>
    <s v="93047-98331-DD"/>
    <s v="L-M-0.5"/>
    <n v="1"/>
    <x v="392"/>
    <s v="adanzeybn@github.com"/>
    <x v="0"/>
    <x v="3"/>
    <x v="0"/>
    <x v="1"/>
    <n v="8.73"/>
    <n v="8.73"/>
    <x v="3"/>
    <s v="Medium"/>
    <x v="0"/>
  </r>
  <r>
    <s v="WNR-71736-993"/>
    <x v="350"/>
    <s v="16880-78077-FB"/>
    <s v="L-D-0.5"/>
    <n v="4"/>
    <x v="347"/>
    <s v="tfarraac@behance.net"/>
    <x v="0"/>
    <x v="3"/>
    <x v="2"/>
    <x v="1"/>
    <n v="7.77"/>
    <n v="31.08"/>
    <x v="3"/>
    <s v="Dark"/>
    <x v="1"/>
  </r>
  <r>
    <s v="WNR-71736-993"/>
    <x v="350"/>
    <s v="16880-78077-FB"/>
    <s v="A-D-2.5"/>
    <n v="6"/>
    <x v="347"/>
    <s v="tfarraac@behance.net"/>
    <x v="0"/>
    <x v="2"/>
    <x v="2"/>
    <x v="2"/>
    <n v="22.884999999999998"/>
    <n v="137.31"/>
    <x v="2"/>
    <s v="Dark"/>
    <x v="1"/>
  </r>
  <r>
    <s v="HNI-91338-546"/>
    <x v="54"/>
    <s v="67285-75317-XI"/>
    <s v="A-D-0.5"/>
    <n v="5"/>
    <x v="393"/>
    <s v=""/>
    <x v="0"/>
    <x v="2"/>
    <x v="2"/>
    <x v="1"/>
    <n v="5.97"/>
    <n v="29.849999999999998"/>
    <x v="2"/>
    <s v="Dark"/>
    <x v="1"/>
  </r>
  <r>
    <s v="CYH-53243-218"/>
    <x v="237"/>
    <s v="88167-57964-PH"/>
    <s v="R-M-0.5"/>
    <n v="3"/>
    <x v="394"/>
    <s v=""/>
    <x v="0"/>
    <x v="0"/>
    <x v="0"/>
    <x v="1"/>
    <n v="5.97"/>
    <n v="17.91"/>
    <x v="0"/>
    <s v="Medium"/>
    <x v="1"/>
  </r>
  <r>
    <s v="SVD-75407-177"/>
    <x v="351"/>
    <s v="16106-36039-QS"/>
    <s v="E-L-0.5"/>
    <n v="3"/>
    <x v="395"/>
    <s v="ydombrellbs@dedecms.com"/>
    <x v="0"/>
    <x v="1"/>
    <x v="1"/>
    <x v="1"/>
    <n v="8.91"/>
    <n v="26.73"/>
    <x v="1"/>
    <s v="Light"/>
    <x v="0"/>
  </r>
  <r>
    <s v="NVN-66443-451"/>
    <x v="352"/>
    <s v="98921-82417-GN"/>
    <s v="R-D-1"/>
    <n v="2"/>
    <x v="396"/>
    <s v="adarthbt@t.co"/>
    <x v="0"/>
    <x v="0"/>
    <x v="2"/>
    <x v="0"/>
    <n v="8.9499999999999993"/>
    <n v="17.899999999999999"/>
    <x v="0"/>
    <s v="Dark"/>
    <x v="1"/>
  </r>
  <r>
    <s v="JUA-13580-095"/>
    <x v="102"/>
    <s v="55265-75151-AK"/>
    <s v="R-L-0.2"/>
    <n v="4"/>
    <x v="397"/>
    <s v="mdarrigoebu@hud.gov"/>
    <x v="1"/>
    <x v="0"/>
    <x v="1"/>
    <x v="3"/>
    <n v="3.5849999999999995"/>
    <n v="14.339999999999998"/>
    <x v="0"/>
    <s v="Light"/>
    <x v="0"/>
  </r>
  <r>
    <s v="ACY-56225-839"/>
    <x v="353"/>
    <s v="47386-50743-FG"/>
    <s v="A-M-2.5"/>
    <n v="3"/>
    <x v="398"/>
    <s v=""/>
    <x v="0"/>
    <x v="2"/>
    <x v="0"/>
    <x v="2"/>
    <n v="25.874999999999996"/>
    <n v="77.624999999999986"/>
    <x v="2"/>
    <s v="Medium"/>
    <x v="0"/>
  </r>
  <r>
    <s v="QBB-07903-622"/>
    <x v="354"/>
    <s v="32622-54551-UC"/>
    <s v="R-L-1"/>
    <n v="5"/>
    <x v="399"/>
    <s v="mackrillbw@bandcamp.com"/>
    <x v="0"/>
    <x v="0"/>
    <x v="1"/>
    <x v="0"/>
    <n v="11.95"/>
    <n v="59.75"/>
    <x v="0"/>
    <s v="Light"/>
    <x v="1"/>
  </r>
  <r>
    <s v="JLJ-81802-619"/>
    <x v="135"/>
    <s v="16880-78077-FB"/>
    <s v="A-L-1"/>
    <n v="6"/>
    <x v="347"/>
    <s v="tfarraac@behance.net"/>
    <x v="0"/>
    <x v="2"/>
    <x v="1"/>
    <x v="0"/>
    <n v="12.95"/>
    <n v="77.699999999999989"/>
    <x v="2"/>
    <s v="Light"/>
    <x v="1"/>
  </r>
  <r>
    <s v="HFT-77191-168"/>
    <x v="343"/>
    <s v="48419-02347-XP"/>
    <s v="R-D-0.2"/>
    <n v="2"/>
    <x v="400"/>
    <s v="mkippenby@dion.ne.jp"/>
    <x v="0"/>
    <x v="0"/>
    <x v="2"/>
    <x v="3"/>
    <n v="2.6849999999999996"/>
    <n v="5.3699999999999992"/>
    <x v="0"/>
    <s v="Dark"/>
    <x v="0"/>
  </r>
  <r>
    <s v="SZR-35951-530"/>
    <x v="89"/>
    <s v="14121-20527-OJ"/>
    <s v="E-D-2.5"/>
    <n v="3"/>
    <x v="401"/>
    <s v="wransonbz@ted.com"/>
    <x v="1"/>
    <x v="1"/>
    <x v="2"/>
    <x v="2"/>
    <n v="27.945"/>
    <n v="83.835000000000008"/>
    <x v="1"/>
    <s v="Dark"/>
    <x v="0"/>
  </r>
  <r>
    <s v="IKL-95976-565"/>
    <x v="355"/>
    <s v="53486-73919-BQ"/>
    <s v="A-M-1"/>
    <n v="2"/>
    <x v="402"/>
    <s v=""/>
    <x v="0"/>
    <x v="2"/>
    <x v="0"/>
    <x v="0"/>
    <n v="11.25"/>
    <n v="22.5"/>
    <x v="2"/>
    <s v="Medium"/>
    <x v="1"/>
  </r>
  <r>
    <s v="XEY-48929-474"/>
    <x v="204"/>
    <s v="21889-94615-WT"/>
    <s v="L-M-2.5"/>
    <n v="6"/>
    <x v="403"/>
    <s v="lrignoldc1@miibeian.gov.cn"/>
    <x v="0"/>
    <x v="3"/>
    <x v="0"/>
    <x v="2"/>
    <n v="33.464999999999996"/>
    <n v="200.78999999999996"/>
    <x v="3"/>
    <s v="Medium"/>
    <x v="0"/>
  </r>
  <r>
    <s v="SQT-07286-736"/>
    <x v="356"/>
    <s v="87726-16941-QW"/>
    <s v="A-M-1"/>
    <n v="6"/>
    <x v="404"/>
    <s v=""/>
    <x v="0"/>
    <x v="2"/>
    <x v="0"/>
    <x v="0"/>
    <n v="11.25"/>
    <n v="67.5"/>
    <x v="2"/>
    <s v="Medium"/>
    <x v="1"/>
  </r>
  <r>
    <s v="QDU-45390-361"/>
    <x v="357"/>
    <s v="03677-09134-BC"/>
    <s v="E-M-0.5"/>
    <n v="1"/>
    <x v="405"/>
    <s v="crowthornc3@msn.com"/>
    <x v="0"/>
    <x v="1"/>
    <x v="0"/>
    <x v="1"/>
    <n v="8.25"/>
    <n v="8.25"/>
    <x v="1"/>
    <s v="Medium"/>
    <x v="1"/>
  </r>
  <r>
    <s v="RUJ-30649-712"/>
    <x v="300"/>
    <s v="93224-71517-WV"/>
    <s v="L-L-0.2"/>
    <n v="2"/>
    <x v="406"/>
    <s v="orylandc4@deviantart.com"/>
    <x v="0"/>
    <x v="3"/>
    <x v="1"/>
    <x v="3"/>
    <n v="4.7549999999999999"/>
    <n v="9.51"/>
    <x v="3"/>
    <s v="Light"/>
    <x v="0"/>
  </r>
  <r>
    <s v="WSV-49732-075"/>
    <x v="358"/>
    <s v="76263-95145-GJ"/>
    <s v="L-D-2.5"/>
    <n v="1"/>
    <x v="407"/>
    <s v=""/>
    <x v="0"/>
    <x v="3"/>
    <x v="2"/>
    <x v="2"/>
    <n v="29.784999999999997"/>
    <n v="29.784999999999997"/>
    <x v="3"/>
    <s v="Dark"/>
    <x v="1"/>
  </r>
  <r>
    <s v="VJF-46305-323"/>
    <x v="161"/>
    <s v="68555-89840-GZ"/>
    <s v="L-D-0.5"/>
    <n v="2"/>
    <x v="408"/>
    <s v="msesonck@census.gov"/>
    <x v="0"/>
    <x v="3"/>
    <x v="2"/>
    <x v="1"/>
    <n v="7.77"/>
    <n v="15.54"/>
    <x v="3"/>
    <s v="Dark"/>
    <x v="1"/>
  </r>
  <r>
    <s v="CXD-74176-600"/>
    <x v="129"/>
    <s v="70624-19112-AO"/>
    <s v="E-L-0.5"/>
    <n v="4"/>
    <x v="409"/>
    <s v="craglessc7@webmd.com"/>
    <x v="1"/>
    <x v="1"/>
    <x v="1"/>
    <x v="1"/>
    <n v="8.91"/>
    <n v="35.64"/>
    <x v="1"/>
    <s v="Light"/>
    <x v="1"/>
  </r>
  <r>
    <s v="ADX-50674-975"/>
    <x v="359"/>
    <s v="58916-61837-QH"/>
    <s v="A-M-2.5"/>
    <n v="4"/>
    <x v="410"/>
    <s v="fhollowsc8@blogtalkradio.com"/>
    <x v="0"/>
    <x v="2"/>
    <x v="0"/>
    <x v="2"/>
    <n v="25.874999999999996"/>
    <n v="103.49999999999999"/>
    <x v="2"/>
    <s v="Medium"/>
    <x v="0"/>
  </r>
  <r>
    <s v="RRP-51647-420"/>
    <x v="360"/>
    <s v="89292-52335-YZ"/>
    <s v="E-D-1"/>
    <n v="3"/>
    <x v="411"/>
    <s v="llathleiffc9@nationalgeographic.com"/>
    <x v="1"/>
    <x v="1"/>
    <x v="2"/>
    <x v="0"/>
    <n v="12.15"/>
    <n v="36.450000000000003"/>
    <x v="1"/>
    <s v="Dark"/>
    <x v="0"/>
  </r>
  <r>
    <s v="PKJ-99134-523"/>
    <x v="361"/>
    <s v="77284-34297-YY"/>
    <s v="R-L-0.5"/>
    <n v="5"/>
    <x v="412"/>
    <s v="kheadsca@jalbum.net"/>
    <x v="0"/>
    <x v="0"/>
    <x v="1"/>
    <x v="1"/>
    <n v="7.169999999999999"/>
    <n v="35.849999999999994"/>
    <x v="0"/>
    <s v="Light"/>
    <x v="1"/>
  </r>
  <r>
    <s v="FZQ-29439-457"/>
    <x v="362"/>
    <s v="50449-80974-BZ"/>
    <s v="E-L-0.2"/>
    <n v="5"/>
    <x v="413"/>
    <s v="tbownecb@unicef.org"/>
    <x v="1"/>
    <x v="1"/>
    <x v="1"/>
    <x v="3"/>
    <n v="4.4550000000000001"/>
    <n v="22.274999999999999"/>
    <x v="1"/>
    <s v="Light"/>
    <x v="0"/>
  </r>
  <r>
    <s v="USN-68115-161"/>
    <x v="363"/>
    <s v="08120-16183-AW"/>
    <s v="E-M-0.2"/>
    <n v="6"/>
    <x v="414"/>
    <s v="rjacquemardcc@acquirethisname.com"/>
    <x v="1"/>
    <x v="1"/>
    <x v="0"/>
    <x v="3"/>
    <n v="4.125"/>
    <n v="24.75"/>
    <x v="1"/>
    <s v="Medium"/>
    <x v="1"/>
  </r>
  <r>
    <s v="IXU-20263-532"/>
    <x v="364"/>
    <s v="68044-89277-ML"/>
    <s v="L-M-2.5"/>
    <n v="2"/>
    <x v="415"/>
    <s v="kwarmancd@printfriendly.com"/>
    <x v="1"/>
    <x v="3"/>
    <x v="0"/>
    <x v="2"/>
    <n v="33.464999999999996"/>
    <n v="66.929999999999993"/>
    <x v="3"/>
    <s v="Medium"/>
    <x v="0"/>
  </r>
  <r>
    <s v="CBT-15092-420"/>
    <x v="85"/>
    <s v="71364-35210-HS"/>
    <s v="L-M-0.5"/>
    <n v="1"/>
    <x v="416"/>
    <s v="wcholomince@about.com"/>
    <x v="2"/>
    <x v="3"/>
    <x v="0"/>
    <x v="1"/>
    <n v="8.73"/>
    <n v="8.73"/>
    <x v="3"/>
    <s v="Medium"/>
    <x v="0"/>
  </r>
  <r>
    <s v="PKQ-46841-696"/>
    <x v="365"/>
    <s v="37177-68797-ON"/>
    <s v="R-M-0.5"/>
    <n v="3"/>
    <x v="417"/>
    <s v="abraidmancf@census.gov"/>
    <x v="0"/>
    <x v="0"/>
    <x v="0"/>
    <x v="1"/>
    <n v="5.97"/>
    <n v="17.91"/>
    <x v="0"/>
    <s v="Medium"/>
    <x v="1"/>
  </r>
  <r>
    <s v="XDU-05471-219"/>
    <x v="366"/>
    <s v="60308-06944-GS"/>
    <s v="R-L-0.5"/>
    <n v="1"/>
    <x v="418"/>
    <s v="pdurbancg@symantec.com"/>
    <x v="1"/>
    <x v="0"/>
    <x v="1"/>
    <x v="1"/>
    <n v="7.169999999999999"/>
    <n v="7.169999999999999"/>
    <x v="0"/>
    <s v="Light"/>
    <x v="1"/>
  </r>
  <r>
    <s v="NID-20149-329"/>
    <x v="367"/>
    <s v="49888-39458-PF"/>
    <s v="R-D-0.2"/>
    <n v="2"/>
    <x v="419"/>
    <s v="aharroldch@miibeian.gov.cn"/>
    <x v="0"/>
    <x v="0"/>
    <x v="2"/>
    <x v="3"/>
    <n v="2.6849999999999996"/>
    <n v="5.3699999999999992"/>
    <x v="0"/>
    <s v="Dark"/>
    <x v="1"/>
  </r>
  <r>
    <s v="SVU-27222-213"/>
    <x v="142"/>
    <s v="60748-46813-DZ"/>
    <s v="L-L-0.2"/>
    <n v="5"/>
    <x v="420"/>
    <s v="spamphilonci@mlb.com"/>
    <x v="1"/>
    <x v="3"/>
    <x v="1"/>
    <x v="3"/>
    <n v="4.7549999999999999"/>
    <n v="23.774999999999999"/>
    <x v="3"/>
    <s v="Light"/>
    <x v="1"/>
  </r>
  <r>
    <s v="RWI-84131-848"/>
    <x v="368"/>
    <s v="16385-11286-NX"/>
    <s v="R-D-2.5"/>
    <n v="2"/>
    <x v="421"/>
    <s v="mspurdencj@exblog.jp"/>
    <x v="0"/>
    <x v="0"/>
    <x v="2"/>
    <x v="2"/>
    <n v="20.584999999999997"/>
    <n v="41.169999999999995"/>
    <x v="0"/>
    <s v="Dark"/>
    <x v="0"/>
  </r>
  <r>
    <s v="GUU-40666-525"/>
    <x v="31"/>
    <s v="68555-89840-GZ"/>
    <s v="A-L-0.2"/>
    <n v="3"/>
    <x v="408"/>
    <s v="msesonck@census.gov"/>
    <x v="0"/>
    <x v="2"/>
    <x v="1"/>
    <x v="3"/>
    <n v="3.8849999999999998"/>
    <n v="11.654999999999999"/>
    <x v="2"/>
    <s v="Light"/>
    <x v="1"/>
  </r>
  <r>
    <s v="SCN-51395-066"/>
    <x v="369"/>
    <s v="72164-90254-EJ"/>
    <s v="L-L-0.5"/>
    <n v="4"/>
    <x v="422"/>
    <s v="npirronecl@weibo.com"/>
    <x v="0"/>
    <x v="3"/>
    <x v="1"/>
    <x v="1"/>
    <n v="9.51"/>
    <n v="38.04"/>
    <x v="3"/>
    <s v="Light"/>
    <x v="1"/>
  </r>
  <r>
    <s v="ULA-24644-321"/>
    <x v="370"/>
    <s v="67010-92988-CT"/>
    <s v="R-D-2.5"/>
    <n v="4"/>
    <x v="423"/>
    <s v="rcawleycm@yellowbook.com"/>
    <x v="1"/>
    <x v="0"/>
    <x v="2"/>
    <x v="2"/>
    <n v="20.584999999999997"/>
    <n v="82.339999999999989"/>
    <x v="0"/>
    <s v="Dark"/>
    <x v="0"/>
  </r>
  <r>
    <s v="EOL-92666-762"/>
    <x v="371"/>
    <s v="15776-91507-GT"/>
    <s v="L-L-0.2"/>
    <n v="2"/>
    <x v="424"/>
    <s v="sbarribalcn@microsoft.com"/>
    <x v="1"/>
    <x v="3"/>
    <x v="1"/>
    <x v="3"/>
    <n v="4.7549999999999999"/>
    <n v="9.51"/>
    <x v="3"/>
    <s v="Light"/>
    <x v="0"/>
  </r>
  <r>
    <s v="AJV-18231-334"/>
    <x v="372"/>
    <s v="23473-41001-CD"/>
    <s v="R-D-2.5"/>
    <n v="2"/>
    <x v="425"/>
    <s v="aadamidesco@bizjournals.com"/>
    <x v="2"/>
    <x v="0"/>
    <x v="2"/>
    <x v="2"/>
    <n v="20.584999999999997"/>
    <n v="41.169999999999995"/>
    <x v="0"/>
    <s v="Dark"/>
    <x v="1"/>
  </r>
  <r>
    <s v="ZQI-47236-301"/>
    <x v="373"/>
    <s v="23446-47798-ID"/>
    <s v="L-L-0.5"/>
    <n v="5"/>
    <x v="426"/>
    <s v="cthowescp@craigslist.org"/>
    <x v="0"/>
    <x v="3"/>
    <x v="1"/>
    <x v="1"/>
    <n v="9.51"/>
    <n v="47.55"/>
    <x v="3"/>
    <s v="Light"/>
    <x v="1"/>
  </r>
  <r>
    <s v="ZCR-15721-658"/>
    <x v="374"/>
    <s v="28327-84469-ND"/>
    <s v="A-M-1"/>
    <n v="4"/>
    <x v="427"/>
    <s v="rwillowaycq@admin.ch"/>
    <x v="0"/>
    <x v="2"/>
    <x v="0"/>
    <x v="0"/>
    <n v="11.25"/>
    <n v="45"/>
    <x v="2"/>
    <s v="Medium"/>
    <x v="1"/>
  </r>
  <r>
    <s v="QEW-47945-682"/>
    <x v="319"/>
    <s v="42466-87067-DT"/>
    <s v="L-L-0.2"/>
    <n v="5"/>
    <x v="428"/>
    <s v="aelwincr@privacy.gov.au"/>
    <x v="0"/>
    <x v="3"/>
    <x v="1"/>
    <x v="3"/>
    <n v="4.7549999999999999"/>
    <n v="23.774999999999999"/>
    <x v="3"/>
    <s v="Light"/>
    <x v="1"/>
  </r>
  <r>
    <s v="PSY-45485-542"/>
    <x v="375"/>
    <s v="62246-99443-HF"/>
    <s v="R-D-0.5"/>
    <n v="3"/>
    <x v="429"/>
    <s v="abilbrookcs@booking.com"/>
    <x v="1"/>
    <x v="0"/>
    <x v="2"/>
    <x v="1"/>
    <n v="5.3699999999999992"/>
    <n v="16.11"/>
    <x v="0"/>
    <s v="Dark"/>
    <x v="0"/>
  </r>
  <r>
    <s v="BAQ-74241-156"/>
    <x v="376"/>
    <s v="99869-55718-UU"/>
    <s v="R-D-0.2"/>
    <n v="4"/>
    <x v="430"/>
    <s v="rmckallct@sakura.ne.jp"/>
    <x v="2"/>
    <x v="0"/>
    <x v="2"/>
    <x v="3"/>
    <n v="2.6849999999999996"/>
    <n v="10.739999999999998"/>
    <x v="0"/>
    <s v="Dark"/>
    <x v="0"/>
  </r>
  <r>
    <s v="BVU-77367-451"/>
    <x v="377"/>
    <s v="77421-46059-RY"/>
    <s v="A-D-1"/>
    <n v="5"/>
    <x v="431"/>
    <s v="bdailecu@vistaprint.com"/>
    <x v="0"/>
    <x v="2"/>
    <x v="2"/>
    <x v="0"/>
    <n v="9.9499999999999993"/>
    <n v="49.75"/>
    <x v="2"/>
    <s v="Dark"/>
    <x v="0"/>
  </r>
  <r>
    <s v="TJE-91516-344"/>
    <x v="378"/>
    <s v="49894-06550-OQ"/>
    <s v="E-M-1"/>
    <n v="2"/>
    <x v="432"/>
    <s v="atrehernecv@state.tx.us"/>
    <x v="1"/>
    <x v="1"/>
    <x v="0"/>
    <x v="0"/>
    <n v="13.75"/>
    <n v="27.5"/>
    <x v="1"/>
    <s v="Medium"/>
    <x v="1"/>
  </r>
  <r>
    <s v="LIS-96202-702"/>
    <x v="277"/>
    <s v="72028-63343-SU"/>
    <s v="L-D-2.5"/>
    <n v="4"/>
    <x v="433"/>
    <s v="abrentnallcw@biglobe.ne.jp"/>
    <x v="2"/>
    <x v="3"/>
    <x v="2"/>
    <x v="2"/>
    <n v="29.784999999999997"/>
    <n v="119.13999999999999"/>
    <x v="3"/>
    <s v="Dark"/>
    <x v="1"/>
  </r>
  <r>
    <s v="VIO-27668-766"/>
    <x v="379"/>
    <s v="10074-20104-NN"/>
    <s v="R-D-2.5"/>
    <n v="1"/>
    <x v="434"/>
    <s v="ddrinkallcx@psu.edu"/>
    <x v="0"/>
    <x v="0"/>
    <x v="2"/>
    <x v="2"/>
    <n v="20.584999999999997"/>
    <n v="20.584999999999997"/>
    <x v="0"/>
    <s v="Dark"/>
    <x v="0"/>
  </r>
  <r>
    <s v="ZVG-20473-043"/>
    <x v="86"/>
    <s v="71769-10219-IM"/>
    <s v="A-D-0.2"/>
    <n v="3"/>
    <x v="435"/>
    <s v="dkornelcy@cyberchimps.com"/>
    <x v="0"/>
    <x v="2"/>
    <x v="2"/>
    <x v="3"/>
    <n v="2.9849999999999999"/>
    <n v="8.9550000000000001"/>
    <x v="2"/>
    <s v="Dark"/>
    <x v="0"/>
  </r>
  <r>
    <s v="KGZ-56395-231"/>
    <x v="380"/>
    <s v="22221-71106-JD"/>
    <s v="A-D-0.5"/>
    <n v="1"/>
    <x v="436"/>
    <s v="rlequeuxcz@newyorker.com"/>
    <x v="0"/>
    <x v="2"/>
    <x v="2"/>
    <x v="1"/>
    <n v="5.97"/>
    <n v="5.97"/>
    <x v="2"/>
    <s v="Dark"/>
    <x v="1"/>
  </r>
  <r>
    <s v="CUU-92244-729"/>
    <x v="381"/>
    <s v="99735-44927-OL"/>
    <s v="E-M-1"/>
    <n v="3"/>
    <x v="437"/>
    <s v="jmccaulld0@parallels.com"/>
    <x v="0"/>
    <x v="1"/>
    <x v="0"/>
    <x v="0"/>
    <n v="13.75"/>
    <n v="41.25"/>
    <x v="1"/>
    <s v="Medium"/>
    <x v="0"/>
  </r>
  <r>
    <s v="EHE-94714-312"/>
    <x v="382"/>
    <s v="27132-68907-RC"/>
    <s v="E-L-0.2"/>
    <n v="5"/>
    <x v="438"/>
    <s v="abrashda@plala.or.jp"/>
    <x v="0"/>
    <x v="1"/>
    <x v="1"/>
    <x v="3"/>
    <n v="4.4550000000000001"/>
    <n v="22.274999999999999"/>
    <x v="1"/>
    <s v="Light"/>
    <x v="0"/>
  </r>
  <r>
    <s v="RTL-16205-161"/>
    <x v="11"/>
    <s v="90440-62727-HI"/>
    <s v="A-M-0.5"/>
    <n v="1"/>
    <x v="439"/>
    <s v="ahutchinsond2@imgur.com"/>
    <x v="0"/>
    <x v="2"/>
    <x v="0"/>
    <x v="1"/>
    <n v="6.75"/>
    <n v="6.75"/>
    <x v="2"/>
    <s v="Medium"/>
    <x v="0"/>
  </r>
  <r>
    <s v="GTS-22482-014"/>
    <x v="167"/>
    <s v="36769-16558-SX"/>
    <s v="L-M-2.5"/>
    <n v="4"/>
    <x v="440"/>
    <s v=""/>
    <x v="0"/>
    <x v="3"/>
    <x v="0"/>
    <x v="2"/>
    <n v="33.464999999999996"/>
    <n v="133.85999999999999"/>
    <x v="3"/>
    <s v="Medium"/>
    <x v="0"/>
  </r>
  <r>
    <s v="DYG-25473-881"/>
    <x v="383"/>
    <s v="10138-31681-SD"/>
    <s v="A-D-0.2"/>
    <n v="2"/>
    <x v="441"/>
    <s v="rdriversd4@hexun.com"/>
    <x v="0"/>
    <x v="2"/>
    <x v="2"/>
    <x v="3"/>
    <n v="2.9849999999999999"/>
    <n v="5.97"/>
    <x v="2"/>
    <s v="Dark"/>
    <x v="1"/>
  </r>
  <r>
    <s v="HTR-21838-286"/>
    <x v="18"/>
    <s v="24669-76297-SF"/>
    <s v="A-L-1"/>
    <n v="2"/>
    <x v="442"/>
    <s v="hzeald5@google.de"/>
    <x v="0"/>
    <x v="2"/>
    <x v="1"/>
    <x v="0"/>
    <n v="12.95"/>
    <n v="25.9"/>
    <x v="2"/>
    <s v="Light"/>
    <x v="1"/>
  </r>
  <r>
    <s v="KYG-28296-920"/>
    <x v="84"/>
    <s v="78050-20355-DI"/>
    <s v="E-M-2.5"/>
    <n v="1"/>
    <x v="443"/>
    <s v="gsmallcombed6@ucla.edu"/>
    <x v="1"/>
    <x v="1"/>
    <x v="0"/>
    <x v="2"/>
    <n v="31.624999999999996"/>
    <n v="31.624999999999996"/>
    <x v="1"/>
    <s v="Medium"/>
    <x v="0"/>
  </r>
  <r>
    <s v="NNB-20459-430"/>
    <x v="384"/>
    <s v="79825-17822-UH"/>
    <s v="L-M-0.2"/>
    <n v="2"/>
    <x v="444"/>
    <s v="ddibleyd7@feedburner.com"/>
    <x v="0"/>
    <x v="3"/>
    <x v="0"/>
    <x v="3"/>
    <n v="4.3650000000000002"/>
    <n v="8.73"/>
    <x v="3"/>
    <s v="Medium"/>
    <x v="1"/>
  </r>
  <r>
    <s v="FEK-14025-351"/>
    <x v="385"/>
    <s v="03990-21586-MQ"/>
    <s v="E-L-0.2"/>
    <n v="6"/>
    <x v="445"/>
    <s v="gdimitrioud8@chronoengine.com"/>
    <x v="0"/>
    <x v="1"/>
    <x v="1"/>
    <x v="3"/>
    <n v="4.4550000000000001"/>
    <n v="26.73"/>
    <x v="1"/>
    <s v="Light"/>
    <x v="0"/>
  </r>
  <r>
    <s v="AWH-16980-469"/>
    <x v="386"/>
    <s v="27493-46921-TZ"/>
    <s v="L-M-0.2"/>
    <n v="6"/>
    <x v="446"/>
    <s v="fflanagand9@woothemes.com"/>
    <x v="0"/>
    <x v="3"/>
    <x v="0"/>
    <x v="3"/>
    <n v="4.3650000000000002"/>
    <n v="26.19"/>
    <x v="3"/>
    <s v="Medium"/>
    <x v="1"/>
  </r>
  <r>
    <s v="ZPW-31329-741"/>
    <x v="387"/>
    <s v="27132-68907-RC"/>
    <s v="R-D-1"/>
    <n v="6"/>
    <x v="438"/>
    <s v="abrashda@plala.or.jp"/>
    <x v="0"/>
    <x v="0"/>
    <x v="2"/>
    <x v="0"/>
    <n v="8.9499999999999993"/>
    <n v="53.699999999999996"/>
    <x v="0"/>
    <s v="Dark"/>
    <x v="0"/>
  </r>
  <r>
    <s v="ZPW-31329-741"/>
    <x v="387"/>
    <s v="27132-68907-RC"/>
    <s v="E-M-2.5"/>
    <n v="4"/>
    <x v="438"/>
    <s v="abrashda@plala.or.jp"/>
    <x v="0"/>
    <x v="1"/>
    <x v="0"/>
    <x v="2"/>
    <n v="31.624999999999996"/>
    <n v="126.49999999999999"/>
    <x v="1"/>
    <s v="Medium"/>
    <x v="0"/>
  </r>
  <r>
    <s v="ZPW-31329-741"/>
    <x v="387"/>
    <s v="27132-68907-RC"/>
    <s v="E-M-0.2"/>
    <n v="1"/>
    <x v="438"/>
    <s v="abrashda@plala.or.jp"/>
    <x v="0"/>
    <x v="1"/>
    <x v="0"/>
    <x v="3"/>
    <n v="4.125"/>
    <n v="4.125"/>
    <x v="1"/>
    <s v="Medium"/>
    <x v="0"/>
  </r>
  <r>
    <s v="UBI-83843-396"/>
    <x v="388"/>
    <s v="58816-74064-TF"/>
    <s v="R-L-1"/>
    <n v="2"/>
    <x v="447"/>
    <s v="nizhakovdd@aol.com"/>
    <x v="2"/>
    <x v="0"/>
    <x v="1"/>
    <x v="0"/>
    <n v="11.95"/>
    <n v="23.9"/>
    <x v="0"/>
    <s v="Light"/>
    <x v="1"/>
  </r>
  <r>
    <s v="VID-40587-569"/>
    <x v="389"/>
    <s v="09818-59895-EH"/>
    <s v="E-D-2.5"/>
    <n v="5"/>
    <x v="448"/>
    <s v="skeetsde@answers.com"/>
    <x v="0"/>
    <x v="1"/>
    <x v="2"/>
    <x v="2"/>
    <n v="27.945"/>
    <n v="139.72499999999999"/>
    <x v="1"/>
    <s v="Dark"/>
    <x v="0"/>
  </r>
  <r>
    <s v="KBB-52530-416"/>
    <x v="229"/>
    <s v="06488-46303-IZ"/>
    <s v="L-D-2.5"/>
    <n v="2"/>
    <x v="449"/>
    <s v=""/>
    <x v="0"/>
    <x v="3"/>
    <x v="2"/>
    <x v="2"/>
    <n v="29.784999999999997"/>
    <n v="59.569999999999993"/>
    <x v="3"/>
    <s v="Dark"/>
    <x v="0"/>
  </r>
  <r>
    <s v="ISJ-48676-420"/>
    <x v="390"/>
    <s v="93046-67561-AY"/>
    <s v="L-L-0.5"/>
    <n v="6"/>
    <x v="450"/>
    <s v="kcakedg@huffingtonpost.com"/>
    <x v="0"/>
    <x v="3"/>
    <x v="1"/>
    <x v="1"/>
    <n v="9.51"/>
    <n v="57.06"/>
    <x v="3"/>
    <s v="Light"/>
    <x v="1"/>
  </r>
  <r>
    <s v="MIF-17920-768"/>
    <x v="391"/>
    <s v="68946-40750-LK"/>
    <s v="R-L-0.2"/>
    <n v="6"/>
    <x v="451"/>
    <s v="mhanseddh@instagram.com"/>
    <x v="1"/>
    <x v="0"/>
    <x v="1"/>
    <x v="3"/>
    <n v="3.5849999999999995"/>
    <n v="21.509999999999998"/>
    <x v="0"/>
    <s v="Light"/>
    <x v="0"/>
  </r>
  <r>
    <s v="CPX-19312-088"/>
    <x v="117"/>
    <s v="38387-64959-WW"/>
    <s v="L-M-0.5"/>
    <n v="6"/>
    <x v="452"/>
    <s v="fkienleindi@trellian.com"/>
    <x v="1"/>
    <x v="3"/>
    <x v="0"/>
    <x v="1"/>
    <n v="8.73"/>
    <n v="52.38"/>
    <x v="3"/>
    <s v="Medium"/>
    <x v="0"/>
  </r>
  <r>
    <s v="RXI-67978-260"/>
    <x v="392"/>
    <s v="48418-60841-CC"/>
    <s v="E-D-1"/>
    <n v="6"/>
    <x v="453"/>
    <s v="kegglestonedj@sphinn.com"/>
    <x v="1"/>
    <x v="1"/>
    <x v="2"/>
    <x v="0"/>
    <n v="12.15"/>
    <n v="72.900000000000006"/>
    <x v="1"/>
    <s v="Dark"/>
    <x v="1"/>
  </r>
  <r>
    <s v="LKE-14821-285"/>
    <x v="393"/>
    <s v="13736-92418-JS"/>
    <s v="R-M-0.2"/>
    <n v="5"/>
    <x v="454"/>
    <s v="bsemkinsdk@unc.edu"/>
    <x v="1"/>
    <x v="0"/>
    <x v="0"/>
    <x v="3"/>
    <n v="2.9849999999999999"/>
    <n v="14.924999999999999"/>
    <x v="0"/>
    <s v="Medium"/>
    <x v="0"/>
  </r>
  <r>
    <s v="LRK-97117-150"/>
    <x v="394"/>
    <s v="33000-22405-LO"/>
    <s v="L-L-1"/>
    <n v="6"/>
    <x v="455"/>
    <s v="slorenzettidl@is.gd"/>
    <x v="0"/>
    <x v="3"/>
    <x v="1"/>
    <x v="0"/>
    <n v="15.85"/>
    <n v="95.1"/>
    <x v="3"/>
    <s v="Light"/>
    <x v="1"/>
  </r>
  <r>
    <s v="IGK-51227-573"/>
    <x v="137"/>
    <s v="46959-60474-LT"/>
    <s v="L-D-0.5"/>
    <n v="2"/>
    <x v="456"/>
    <s v="bgiannazzidm@apple.com"/>
    <x v="0"/>
    <x v="3"/>
    <x v="2"/>
    <x v="1"/>
    <n v="7.77"/>
    <n v="15.54"/>
    <x v="3"/>
    <s v="Dark"/>
    <x v="1"/>
  </r>
  <r>
    <s v="ZAY-43009-775"/>
    <x v="395"/>
    <s v="73431-39823-UP"/>
    <s v="L-D-0.2"/>
    <n v="6"/>
    <x v="457"/>
    <s v=""/>
    <x v="0"/>
    <x v="3"/>
    <x v="2"/>
    <x v="3"/>
    <n v="3.8849999999999998"/>
    <n v="23.31"/>
    <x v="3"/>
    <s v="Dark"/>
    <x v="1"/>
  </r>
  <r>
    <s v="EMA-63190-618"/>
    <x v="396"/>
    <s v="90993-98984-JK"/>
    <s v="E-M-0.2"/>
    <n v="1"/>
    <x v="458"/>
    <s v="ulethbrigdo@hc360.com"/>
    <x v="0"/>
    <x v="1"/>
    <x v="0"/>
    <x v="3"/>
    <n v="4.125"/>
    <n v="4.125"/>
    <x v="1"/>
    <s v="Medium"/>
    <x v="0"/>
  </r>
  <r>
    <s v="FBI-35855-418"/>
    <x v="189"/>
    <s v="06552-04430-AG"/>
    <s v="R-M-0.5"/>
    <n v="6"/>
    <x v="459"/>
    <s v="sfarnishdp@dmoz.org"/>
    <x v="2"/>
    <x v="0"/>
    <x v="0"/>
    <x v="1"/>
    <n v="5.97"/>
    <n v="35.82"/>
    <x v="0"/>
    <s v="Medium"/>
    <x v="1"/>
  </r>
  <r>
    <s v="TXB-80533-417"/>
    <x v="8"/>
    <s v="54597-57004-QM"/>
    <s v="L-L-1"/>
    <n v="2"/>
    <x v="460"/>
    <s v="fjecockdq@unicef.org"/>
    <x v="0"/>
    <x v="3"/>
    <x v="1"/>
    <x v="0"/>
    <n v="15.85"/>
    <n v="31.7"/>
    <x v="3"/>
    <s v="Light"/>
    <x v="1"/>
  </r>
  <r>
    <s v="MBM-00112-248"/>
    <x v="397"/>
    <s v="50238-24377-ZS"/>
    <s v="L-L-1"/>
    <n v="5"/>
    <x v="461"/>
    <s v=""/>
    <x v="0"/>
    <x v="3"/>
    <x v="1"/>
    <x v="0"/>
    <n v="15.85"/>
    <n v="79.25"/>
    <x v="3"/>
    <s v="Light"/>
    <x v="0"/>
  </r>
  <r>
    <s v="EUO-69145-988"/>
    <x v="398"/>
    <s v="60370-41934-IF"/>
    <s v="E-D-0.2"/>
    <n v="3"/>
    <x v="462"/>
    <s v="hpallisterds@ning.com"/>
    <x v="0"/>
    <x v="1"/>
    <x v="2"/>
    <x v="3"/>
    <n v="3.645"/>
    <n v="10.935"/>
    <x v="1"/>
    <s v="Dark"/>
    <x v="1"/>
  </r>
  <r>
    <s v="GYA-80327-368"/>
    <x v="399"/>
    <s v="06899-54551-EH"/>
    <s v="A-D-1"/>
    <n v="4"/>
    <x v="463"/>
    <s v="cmershdt@drupal.org"/>
    <x v="1"/>
    <x v="2"/>
    <x v="2"/>
    <x v="0"/>
    <n v="9.9499999999999993"/>
    <n v="39.799999999999997"/>
    <x v="2"/>
    <s v="Dark"/>
    <x v="1"/>
  </r>
  <r>
    <s v="TNW-41601-420"/>
    <x v="400"/>
    <s v="66458-91190-YC"/>
    <s v="R-M-1"/>
    <n v="5"/>
    <x v="464"/>
    <s v="murione5@alexa.com"/>
    <x v="1"/>
    <x v="0"/>
    <x v="0"/>
    <x v="0"/>
    <n v="9.9499999999999993"/>
    <n v="49.75"/>
    <x v="0"/>
    <s v="Medium"/>
    <x v="0"/>
  </r>
  <r>
    <s v="ALR-62963-723"/>
    <x v="401"/>
    <s v="80463-43913-WZ"/>
    <s v="R-D-0.2"/>
    <n v="3"/>
    <x v="465"/>
    <s v=""/>
    <x v="1"/>
    <x v="0"/>
    <x v="2"/>
    <x v="3"/>
    <n v="2.6849999999999996"/>
    <n v="8.0549999999999997"/>
    <x v="0"/>
    <s v="Dark"/>
    <x v="0"/>
  </r>
  <r>
    <s v="JIG-27636-870"/>
    <x v="402"/>
    <s v="67204-04870-LG"/>
    <s v="R-L-1"/>
    <n v="4"/>
    <x v="466"/>
    <s v=""/>
    <x v="0"/>
    <x v="0"/>
    <x v="1"/>
    <x v="0"/>
    <n v="11.95"/>
    <n v="47.8"/>
    <x v="0"/>
    <s v="Light"/>
    <x v="1"/>
  </r>
  <r>
    <s v="CTE-31437-326"/>
    <x v="6"/>
    <s v="22721-63196-UJ"/>
    <s v="R-M-0.2"/>
    <n v="4"/>
    <x v="467"/>
    <s v="gduckerdx@patch.com"/>
    <x v="2"/>
    <x v="0"/>
    <x v="0"/>
    <x v="3"/>
    <n v="2.9849999999999999"/>
    <n v="11.94"/>
    <x v="0"/>
    <s v="Medium"/>
    <x v="1"/>
  </r>
  <r>
    <s v="CTE-31437-326"/>
    <x v="6"/>
    <s v="22721-63196-UJ"/>
    <s v="E-M-0.2"/>
    <n v="4"/>
    <x v="467"/>
    <s v="gduckerdx@patch.com"/>
    <x v="2"/>
    <x v="1"/>
    <x v="0"/>
    <x v="3"/>
    <n v="4.125"/>
    <n v="16.5"/>
    <x v="1"/>
    <s v="Medium"/>
    <x v="1"/>
  </r>
  <r>
    <s v="CTE-31437-326"/>
    <x v="6"/>
    <s v="22721-63196-UJ"/>
    <s v="L-D-1"/>
    <n v="4"/>
    <x v="467"/>
    <s v="gduckerdx@patch.com"/>
    <x v="2"/>
    <x v="3"/>
    <x v="2"/>
    <x v="0"/>
    <n v="12.95"/>
    <n v="51.8"/>
    <x v="3"/>
    <s v="Dark"/>
    <x v="1"/>
  </r>
  <r>
    <s v="CTE-31437-326"/>
    <x v="6"/>
    <s v="22721-63196-UJ"/>
    <s v="L-L-0.2"/>
    <n v="3"/>
    <x v="467"/>
    <s v="gduckerdx@patch.com"/>
    <x v="2"/>
    <x v="3"/>
    <x v="1"/>
    <x v="3"/>
    <n v="4.7549999999999999"/>
    <n v="14.265000000000001"/>
    <x v="3"/>
    <s v="Light"/>
    <x v="1"/>
  </r>
  <r>
    <s v="SLD-63003-334"/>
    <x v="403"/>
    <s v="55515-37571-RS"/>
    <s v="L-M-0.2"/>
    <n v="6"/>
    <x v="468"/>
    <s v="wstearleye1@census.gov"/>
    <x v="0"/>
    <x v="3"/>
    <x v="0"/>
    <x v="3"/>
    <n v="4.3650000000000002"/>
    <n v="26.19"/>
    <x v="3"/>
    <s v="Medium"/>
    <x v="1"/>
  </r>
  <r>
    <s v="BXN-64230-789"/>
    <x v="404"/>
    <s v="25598-77476-CB"/>
    <s v="A-L-1"/>
    <n v="2"/>
    <x v="469"/>
    <s v="dwincere2@marriott.com"/>
    <x v="0"/>
    <x v="2"/>
    <x v="1"/>
    <x v="0"/>
    <n v="12.95"/>
    <n v="25.9"/>
    <x v="2"/>
    <s v="Light"/>
    <x v="0"/>
  </r>
  <r>
    <s v="XEE-37895-169"/>
    <x v="21"/>
    <s v="14888-85625-TM"/>
    <s v="A-L-2.5"/>
    <n v="3"/>
    <x v="470"/>
    <s v="plyfielde3@baidu.com"/>
    <x v="0"/>
    <x v="2"/>
    <x v="1"/>
    <x v="2"/>
    <n v="29.784999999999997"/>
    <n v="89.35499999999999"/>
    <x v="2"/>
    <s v="Light"/>
    <x v="0"/>
  </r>
  <r>
    <s v="ZTX-80764-911"/>
    <x v="239"/>
    <s v="92793-68332-NR"/>
    <s v="L-D-0.5"/>
    <n v="6"/>
    <x v="471"/>
    <s v="hperrise4@studiopress.com"/>
    <x v="1"/>
    <x v="3"/>
    <x v="2"/>
    <x v="1"/>
    <n v="7.77"/>
    <n v="46.62"/>
    <x v="3"/>
    <s v="Dark"/>
    <x v="1"/>
  </r>
  <r>
    <s v="WVT-88135-549"/>
    <x v="405"/>
    <s v="66458-91190-YC"/>
    <s v="A-D-1"/>
    <n v="3"/>
    <x v="464"/>
    <s v="murione5@alexa.com"/>
    <x v="1"/>
    <x v="2"/>
    <x v="2"/>
    <x v="0"/>
    <n v="9.9499999999999993"/>
    <n v="29.849999999999998"/>
    <x v="2"/>
    <s v="Dark"/>
    <x v="0"/>
  </r>
  <r>
    <s v="IPA-94170-889"/>
    <x v="292"/>
    <s v="64439-27325-LG"/>
    <s v="R-L-0.2"/>
    <n v="3"/>
    <x v="472"/>
    <s v="ckide6@narod.ru"/>
    <x v="1"/>
    <x v="0"/>
    <x v="1"/>
    <x v="3"/>
    <n v="3.5849999999999995"/>
    <n v="10.754999999999999"/>
    <x v="0"/>
    <s v="Light"/>
    <x v="0"/>
  </r>
  <r>
    <s v="YQL-63755-365"/>
    <x v="117"/>
    <s v="78570-76770-LB"/>
    <s v="A-M-0.2"/>
    <n v="4"/>
    <x v="473"/>
    <s v="cbeinee7@xinhuanet.com"/>
    <x v="0"/>
    <x v="2"/>
    <x v="0"/>
    <x v="3"/>
    <n v="3.375"/>
    <n v="13.5"/>
    <x v="2"/>
    <s v="Medium"/>
    <x v="0"/>
  </r>
  <r>
    <s v="RKW-81145-984"/>
    <x v="406"/>
    <s v="98661-69719-VI"/>
    <s v="L-L-1"/>
    <n v="3"/>
    <x v="474"/>
    <s v="cbakeupe8@globo.com"/>
    <x v="0"/>
    <x v="3"/>
    <x v="1"/>
    <x v="0"/>
    <n v="15.85"/>
    <n v="47.55"/>
    <x v="3"/>
    <s v="Light"/>
    <x v="1"/>
  </r>
  <r>
    <s v="MBT-23379-866"/>
    <x v="407"/>
    <s v="82990-92703-IX"/>
    <s v="L-L-1"/>
    <n v="5"/>
    <x v="475"/>
    <s v="nhelkine9@example.com"/>
    <x v="0"/>
    <x v="3"/>
    <x v="1"/>
    <x v="0"/>
    <n v="15.85"/>
    <n v="79.25"/>
    <x v="3"/>
    <s v="Light"/>
    <x v="1"/>
  </r>
  <r>
    <s v="GEJ-39834-935"/>
    <x v="408"/>
    <s v="49412-86877-VY"/>
    <s v="L-M-0.2"/>
    <n v="6"/>
    <x v="476"/>
    <s v="pwitheringtonea@networkadvertising.org"/>
    <x v="0"/>
    <x v="3"/>
    <x v="0"/>
    <x v="3"/>
    <n v="4.3650000000000002"/>
    <n v="26.19"/>
    <x v="3"/>
    <s v="Medium"/>
    <x v="0"/>
  </r>
  <r>
    <s v="KRW-91640-596"/>
    <x v="409"/>
    <s v="70879-00984-FJ"/>
    <s v="R-L-0.5"/>
    <n v="3"/>
    <x v="477"/>
    <s v="ttilzeyeb@hostgator.com"/>
    <x v="0"/>
    <x v="0"/>
    <x v="1"/>
    <x v="1"/>
    <n v="7.169999999999999"/>
    <n v="21.509999999999998"/>
    <x v="0"/>
    <s v="Light"/>
    <x v="1"/>
  </r>
  <r>
    <s v="AOT-70449-651"/>
    <x v="410"/>
    <s v="53414-73391-CR"/>
    <s v="R-D-2.5"/>
    <n v="5"/>
    <x v="478"/>
    <s v=""/>
    <x v="0"/>
    <x v="0"/>
    <x v="2"/>
    <x v="2"/>
    <n v="20.584999999999997"/>
    <n v="102.92499999999998"/>
    <x v="0"/>
    <s v="Dark"/>
    <x v="0"/>
  </r>
  <r>
    <s v="DGC-21813-731"/>
    <x v="127"/>
    <s v="43606-83072-OA"/>
    <s v="L-D-0.2"/>
    <n v="2"/>
    <x v="479"/>
    <s v=""/>
    <x v="0"/>
    <x v="3"/>
    <x v="2"/>
    <x v="3"/>
    <n v="3.8849999999999998"/>
    <n v="7.77"/>
    <x v="3"/>
    <s v="Dark"/>
    <x v="1"/>
  </r>
  <r>
    <s v="JBE-92943-643"/>
    <x v="411"/>
    <s v="84466-22864-CE"/>
    <s v="E-D-2.5"/>
    <n v="5"/>
    <x v="480"/>
    <s v="kimortsee@alexa.com"/>
    <x v="0"/>
    <x v="1"/>
    <x v="2"/>
    <x v="2"/>
    <n v="27.945"/>
    <n v="139.72499999999999"/>
    <x v="1"/>
    <s v="Dark"/>
    <x v="1"/>
  </r>
  <r>
    <s v="ZIL-34948-499"/>
    <x v="112"/>
    <s v="66458-91190-YC"/>
    <s v="A-D-0.5"/>
    <n v="2"/>
    <x v="464"/>
    <s v="murione5@alexa.com"/>
    <x v="1"/>
    <x v="2"/>
    <x v="2"/>
    <x v="1"/>
    <n v="5.97"/>
    <n v="11.94"/>
    <x v="2"/>
    <s v="Dark"/>
    <x v="0"/>
  </r>
  <r>
    <s v="JSU-23781-256"/>
    <x v="412"/>
    <s v="76499-89100-JQ"/>
    <s v="L-D-0.2"/>
    <n v="1"/>
    <x v="481"/>
    <s v="marmisteadeg@blogtalkradio.com"/>
    <x v="0"/>
    <x v="3"/>
    <x v="2"/>
    <x v="3"/>
    <n v="3.8849999999999998"/>
    <n v="3.8849999999999998"/>
    <x v="3"/>
    <s v="Dark"/>
    <x v="1"/>
  </r>
  <r>
    <s v="JSU-23781-256"/>
    <x v="412"/>
    <s v="76499-89100-JQ"/>
    <s v="R-M-1"/>
    <n v="4"/>
    <x v="481"/>
    <s v="marmisteadeg@blogtalkradio.com"/>
    <x v="0"/>
    <x v="0"/>
    <x v="0"/>
    <x v="0"/>
    <n v="9.9499999999999993"/>
    <n v="39.799999999999997"/>
    <x v="0"/>
    <s v="Medium"/>
    <x v="1"/>
  </r>
  <r>
    <s v="VPX-44956-367"/>
    <x v="413"/>
    <s v="39582-35773-ZJ"/>
    <s v="R-M-0.5"/>
    <n v="5"/>
    <x v="482"/>
    <s v="vupstoneei@google.pl"/>
    <x v="0"/>
    <x v="0"/>
    <x v="0"/>
    <x v="1"/>
    <n v="5.97"/>
    <n v="29.849999999999998"/>
    <x v="0"/>
    <s v="Medium"/>
    <x v="1"/>
  </r>
  <r>
    <s v="VTB-46451-959"/>
    <x v="414"/>
    <s v="66240-46962-IO"/>
    <s v="L-D-2.5"/>
    <n v="1"/>
    <x v="483"/>
    <s v="bbeelbyej@rediff.com"/>
    <x v="1"/>
    <x v="3"/>
    <x v="2"/>
    <x v="2"/>
    <n v="29.784999999999997"/>
    <n v="29.784999999999997"/>
    <x v="3"/>
    <s v="Dark"/>
    <x v="1"/>
  </r>
  <r>
    <s v="DNZ-11665-950"/>
    <x v="415"/>
    <s v="10637-45522-ID"/>
    <s v="L-L-2.5"/>
    <n v="2"/>
    <x v="484"/>
    <s v=""/>
    <x v="0"/>
    <x v="3"/>
    <x v="1"/>
    <x v="2"/>
    <n v="36.454999999999998"/>
    <n v="72.91"/>
    <x v="3"/>
    <s v="Light"/>
    <x v="1"/>
  </r>
  <r>
    <s v="ITR-54735-364"/>
    <x v="416"/>
    <s v="92599-58687-CS"/>
    <s v="R-D-0.2"/>
    <n v="5"/>
    <x v="485"/>
    <s v=""/>
    <x v="0"/>
    <x v="0"/>
    <x v="2"/>
    <x v="3"/>
    <n v="2.6849999999999996"/>
    <n v="13.424999999999997"/>
    <x v="0"/>
    <s v="Dark"/>
    <x v="0"/>
  </r>
  <r>
    <s v="YDS-02797-307"/>
    <x v="417"/>
    <s v="06058-48844-PI"/>
    <s v="E-M-2.5"/>
    <n v="4"/>
    <x v="486"/>
    <s v="wspeechlyem@amazon.com"/>
    <x v="0"/>
    <x v="1"/>
    <x v="0"/>
    <x v="2"/>
    <n v="31.624999999999996"/>
    <n v="126.49999999999999"/>
    <x v="1"/>
    <s v="Medium"/>
    <x v="0"/>
  </r>
  <r>
    <s v="BPG-68988-842"/>
    <x v="418"/>
    <s v="53631-24432-SY"/>
    <s v="E-M-0.5"/>
    <n v="5"/>
    <x v="487"/>
    <s v="iphillpoten@buzzfeed.com"/>
    <x v="2"/>
    <x v="1"/>
    <x v="0"/>
    <x v="1"/>
    <n v="8.25"/>
    <n v="41.25"/>
    <x v="1"/>
    <s v="Medium"/>
    <x v="1"/>
  </r>
  <r>
    <s v="XZG-51938-658"/>
    <x v="419"/>
    <s v="18275-73980-KL"/>
    <s v="E-L-0.5"/>
    <n v="6"/>
    <x v="488"/>
    <s v="lpennaccieo@statcounter.com"/>
    <x v="0"/>
    <x v="1"/>
    <x v="1"/>
    <x v="1"/>
    <n v="8.91"/>
    <n v="53.46"/>
    <x v="1"/>
    <s v="Light"/>
    <x v="1"/>
  </r>
  <r>
    <s v="KAR-24978-271"/>
    <x v="420"/>
    <s v="23187-65750-HZ"/>
    <s v="R-M-1"/>
    <n v="6"/>
    <x v="489"/>
    <s v="sarpinep@moonfruit.com"/>
    <x v="0"/>
    <x v="0"/>
    <x v="0"/>
    <x v="0"/>
    <n v="9.9499999999999993"/>
    <n v="59.699999999999996"/>
    <x v="0"/>
    <s v="Medium"/>
    <x v="1"/>
  </r>
  <r>
    <s v="FQK-28730-361"/>
    <x v="421"/>
    <s v="22725-79522-GP"/>
    <s v="R-M-1"/>
    <n v="6"/>
    <x v="490"/>
    <s v="dfrieseq@cargocollective.com"/>
    <x v="0"/>
    <x v="0"/>
    <x v="0"/>
    <x v="0"/>
    <n v="9.9499999999999993"/>
    <n v="59.699999999999996"/>
    <x v="0"/>
    <s v="Medium"/>
    <x v="1"/>
  </r>
  <r>
    <s v="BGB-67996-089"/>
    <x v="422"/>
    <s v="06279-72603-JE"/>
    <s v="R-D-1"/>
    <n v="5"/>
    <x v="491"/>
    <s v="rsharerer@flavors.me"/>
    <x v="0"/>
    <x v="0"/>
    <x v="2"/>
    <x v="0"/>
    <n v="8.9499999999999993"/>
    <n v="44.75"/>
    <x v="0"/>
    <s v="Dark"/>
    <x v="1"/>
  </r>
  <r>
    <s v="XMC-20620-809"/>
    <x v="423"/>
    <s v="83543-79246-ON"/>
    <s v="E-M-0.5"/>
    <n v="2"/>
    <x v="492"/>
    <s v="nnasebyes@umich.edu"/>
    <x v="0"/>
    <x v="1"/>
    <x v="0"/>
    <x v="1"/>
    <n v="8.25"/>
    <n v="16.5"/>
    <x v="1"/>
    <s v="Medium"/>
    <x v="0"/>
  </r>
  <r>
    <s v="ZSO-58292-191"/>
    <x v="109"/>
    <s v="66794-66795-VW"/>
    <s v="R-D-0.5"/>
    <n v="4"/>
    <x v="493"/>
    <s v=""/>
    <x v="0"/>
    <x v="0"/>
    <x v="2"/>
    <x v="1"/>
    <n v="5.3699999999999992"/>
    <n v="21.479999999999997"/>
    <x v="0"/>
    <s v="Dark"/>
    <x v="1"/>
  </r>
  <r>
    <s v="LWJ-06793-303"/>
    <x v="204"/>
    <s v="95424-67020-AP"/>
    <s v="R-M-2.5"/>
    <n v="2"/>
    <x v="494"/>
    <s v="koculleneu@ca.gov"/>
    <x v="1"/>
    <x v="0"/>
    <x v="0"/>
    <x v="2"/>
    <n v="22.884999999999998"/>
    <n v="45.769999999999996"/>
    <x v="0"/>
    <s v="Medium"/>
    <x v="0"/>
  </r>
  <r>
    <s v="FLM-82229-989"/>
    <x v="424"/>
    <s v="73017-69644-MS"/>
    <s v="L-L-0.2"/>
    <n v="2"/>
    <x v="495"/>
    <s v=""/>
    <x v="1"/>
    <x v="3"/>
    <x v="1"/>
    <x v="3"/>
    <n v="4.7549999999999999"/>
    <n v="9.51"/>
    <x v="3"/>
    <s v="Light"/>
    <x v="1"/>
  </r>
  <r>
    <s v="CPV-90280-133"/>
    <x v="13"/>
    <s v="66458-91190-YC"/>
    <s v="R-D-0.2"/>
    <n v="3"/>
    <x v="464"/>
    <s v="murione5@alexa.com"/>
    <x v="1"/>
    <x v="0"/>
    <x v="2"/>
    <x v="3"/>
    <n v="2.6849999999999996"/>
    <n v="8.0549999999999997"/>
    <x v="0"/>
    <s v="Dark"/>
    <x v="0"/>
  </r>
  <r>
    <s v="OGW-60685-912"/>
    <x v="224"/>
    <s v="67423-10113-LM"/>
    <s v="E-D-2.5"/>
    <n v="4"/>
    <x v="496"/>
    <s v="hbranganex@woothemes.com"/>
    <x v="0"/>
    <x v="1"/>
    <x v="2"/>
    <x v="2"/>
    <n v="27.945"/>
    <n v="111.78"/>
    <x v="1"/>
    <s v="Dark"/>
    <x v="0"/>
  </r>
  <r>
    <s v="DEC-11160-362"/>
    <x v="220"/>
    <s v="48582-05061-RY"/>
    <s v="R-D-0.2"/>
    <n v="4"/>
    <x v="497"/>
    <s v="agallyoney@engadget.com"/>
    <x v="0"/>
    <x v="0"/>
    <x v="2"/>
    <x v="3"/>
    <n v="2.6849999999999996"/>
    <n v="10.739999999999998"/>
    <x v="0"/>
    <s v="Dark"/>
    <x v="0"/>
  </r>
  <r>
    <s v="WCT-07869-499"/>
    <x v="91"/>
    <s v="32031-49093-KE"/>
    <s v="R-D-0.5"/>
    <n v="5"/>
    <x v="498"/>
    <s v="bdomangeez@yahoo.co.jp"/>
    <x v="0"/>
    <x v="0"/>
    <x v="2"/>
    <x v="1"/>
    <n v="5.3699999999999992"/>
    <n v="26.849999999999994"/>
    <x v="0"/>
    <s v="Dark"/>
    <x v="1"/>
  </r>
  <r>
    <s v="FHD-89872-325"/>
    <x v="425"/>
    <s v="31715-98714-OO"/>
    <s v="L-L-1"/>
    <n v="4"/>
    <x v="499"/>
    <s v="koslerf0@gmpg.org"/>
    <x v="0"/>
    <x v="3"/>
    <x v="1"/>
    <x v="0"/>
    <n v="15.85"/>
    <n v="63.4"/>
    <x v="3"/>
    <s v="Light"/>
    <x v="0"/>
  </r>
  <r>
    <s v="AZF-45991-584"/>
    <x v="426"/>
    <s v="73759-17258-KA"/>
    <s v="A-D-2.5"/>
    <n v="1"/>
    <x v="500"/>
    <s v=""/>
    <x v="1"/>
    <x v="2"/>
    <x v="2"/>
    <x v="2"/>
    <n v="22.884999999999998"/>
    <n v="22.884999999999998"/>
    <x v="2"/>
    <s v="Dark"/>
    <x v="0"/>
  </r>
  <r>
    <s v="MDG-14481-513"/>
    <x v="427"/>
    <s v="64897-79178-MH"/>
    <s v="A-M-2.5"/>
    <n v="4"/>
    <x v="501"/>
    <s v="zpellettf2@dailymotion.com"/>
    <x v="0"/>
    <x v="2"/>
    <x v="0"/>
    <x v="2"/>
    <n v="25.874999999999996"/>
    <n v="103.49999999999999"/>
    <x v="2"/>
    <s v="Medium"/>
    <x v="1"/>
  </r>
  <r>
    <s v="OFN-49424-848"/>
    <x v="428"/>
    <s v="73346-85564-JB"/>
    <s v="R-L-2.5"/>
    <n v="2"/>
    <x v="502"/>
    <s v="isprakesf3@spiegel.de"/>
    <x v="0"/>
    <x v="0"/>
    <x v="1"/>
    <x v="2"/>
    <n v="27.484999999999996"/>
    <n v="54.969999999999992"/>
    <x v="0"/>
    <s v="Light"/>
    <x v="1"/>
  </r>
  <r>
    <s v="NFA-03411-746"/>
    <x v="383"/>
    <s v="07476-13102-NJ"/>
    <s v="A-L-0.5"/>
    <n v="2"/>
    <x v="503"/>
    <s v="hfromantf4@ucsd.edu"/>
    <x v="0"/>
    <x v="2"/>
    <x v="1"/>
    <x v="1"/>
    <n v="7.77"/>
    <n v="15.54"/>
    <x v="2"/>
    <s v="Light"/>
    <x v="1"/>
  </r>
  <r>
    <s v="CYM-74988-450"/>
    <x v="156"/>
    <s v="87223-37422-SK"/>
    <s v="L-D-0.2"/>
    <n v="4"/>
    <x v="504"/>
    <s v="rflearf5@artisteer.com"/>
    <x v="2"/>
    <x v="3"/>
    <x v="2"/>
    <x v="3"/>
    <n v="3.8849999999999998"/>
    <n v="15.54"/>
    <x v="3"/>
    <s v="Dark"/>
    <x v="1"/>
  </r>
  <r>
    <s v="WTV-24996-658"/>
    <x v="429"/>
    <s v="57837-15577-YK"/>
    <s v="E-D-2.5"/>
    <n v="3"/>
    <x v="505"/>
    <s v=""/>
    <x v="1"/>
    <x v="1"/>
    <x v="2"/>
    <x v="2"/>
    <n v="27.945"/>
    <n v="83.835000000000008"/>
    <x v="1"/>
    <s v="Dark"/>
    <x v="1"/>
  </r>
  <r>
    <s v="DSL-69915-544"/>
    <x v="103"/>
    <s v="10142-55267-YO"/>
    <s v="R-L-0.2"/>
    <n v="3"/>
    <x v="506"/>
    <s v="wlightollersf9@baidu.com"/>
    <x v="0"/>
    <x v="0"/>
    <x v="1"/>
    <x v="3"/>
    <n v="3.5849999999999995"/>
    <n v="10.754999999999999"/>
    <x v="0"/>
    <s v="Light"/>
    <x v="0"/>
  </r>
  <r>
    <s v="NBT-35757-542"/>
    <x v="361"/>
    <s v="73647-66148-VM"/>
    <s v="E-L-0.2"/>
    <n v="3"/>
    <x v="507"/>
    <s v="bmundenf8@elpais.com"/>
    <x v="0"/>
    <x v="1"/>
    <x v="1"/>
    <x v="3"/>
    <n v="4.4550000000000001"/>
    <n v="13.365"/>
    <x v="1"/>
    <s v="Light"/>
    <x v="0"/>
  </r>
  <r>
    <s v="OYU-25085-528"/>
    <x v="120"/>
    <s v="10142-55267-YO"/>
    <s v="E-L-0.2"/>
    <n v="4"/>
    <x v="506"/>
    <s v="wlightollersf9@baidu.com"/>
    <x v="0"/>
    <x v="1"/>
    <x v="1"/>
    <x v="3"/>
    <n v="4.4550000000000001"/>
    <n v="17.82"/>
    <x v="1"/>
    <s v="Light"/>
    <x v="0"/>
  </r>
  <r>
    <s v="XCG-07109-195"/>
    <x v="430"/>
    <s v="92976-19453-DT"/>
    <s v="L-D-0.2"/>
    <n v="6"/>
    <x v="508"/>
    <s v="nbrakespearfa@rediff.com"/>
    <x v="0"/>
    <x v="3"/>
    <x v="2"/>
    <x v="3"/>
    <n v="3.8849999999999998"/>
    <n v="23.31"/>
    <x v="3"/>
    <s v="Dark"/>
    <x v="0"/>
  </r>
  <r>
    <s v="YZA-25234-630"/>
    <x v="125"/>
    <s v="89757-51438-HX"/>
    <s v="E-D-0.2"/>
    <n v="2"/>
    <x v="509"/>
    <s v="mglawsopfb@reverbnation.com"/>
    <x v="0"/>
    <x v="1"/>
    <x v="2"/>
    <x v="3"/>
    <n v="3.645"/>
    <n v="7.29"/>
    <x v="1"/>
    <s v="Dark"/>
    <x v="1"/>
  </r>
  <r>
    <s v="OKU-29966-417"/>
    <x v="431"/>
    <s v="76192-13390-HZ"/>
    <s v="E-L-0.2"/>
    <n v="4"/>
    <x v="510"/>
    <s v="galbertsfc@etsy.com"/>
    <x v="2"/>
    <x v="1"/>
    <x v="1"/>
    <x v="3"/>
    <n v="4.4550000000000001"/>
    <n v="17.82"/>
    <x v="1"/>
    <s v="Light"/>
    <x v="0"/>
  </r>
  <r>
    <s v="MEX-29350-659"/>
    <x v="40"/>
    <s v="02009-87294-SY"/>
    <s v="E-M-1"/>
    <n v="5"/>
    <x v="511"/>
    <s v="vpolglasefd@about.me"/>
    <x v="0"/>
    <x v="1"/>
    <x v="0"/>
    <x v="0"/>
    <n v="13.75"/>
    <n v="68.75"/>
    <x v="1"/>
    <s v="Medium"/>
    <x v="1"/>
  </r>
  <r>
    <s v="NOY-99738-977"/>
    <x v="432"/>
    <s v="82872-34456-LJ"/>
    <s v="R-L-2.5"/>
    <n v="2"/>
    <x v="512"/>
    <s v=""/>
    <x v="2"/>
    <x v="0"/>
    <x v="1"/>
    <x v="2"/>
    <n v="27.484999999999996"/>
    <n v="54.969999999999992"/>
    <x v="0"/>
    <s v="Light"/>
    <x v="0"/>
  </r>
  <r>
    <s v="TCR-01064-030"/>
    <x v="254"/>
    <s v="13181-04387-LI"/>
    <s v="E-M-1"/>
    <n v="6"/>
    <x v="513"/>
    <s v="sbuschff@so-net.ne.jp"/>
    <x v="1"/>
    <x v="1"/>
    <x v="0"/>
    <x v="0"/>
    <n v="13.75"/>
    <n v="82.5"/>
    <x v="1"/>
    <s v="Medium"/>
    <x v="1"/>
  </r>
  <r>
    <s v="YUL-42750-776"/>
    <x v="219"/>
    <s v="24845-36117-TI"/>
    <s v="L-M-0.2"/>
    <n v="2"/>
    <x v="514"/>
    <s v="craisbeckfg@webnode.com"/>
    <x v="0"/>
    <x v="3"/>
    <x v="0"/>
    <x v="3"/>
    <n v="4.3650000000000002"/>
    <n v="8.73"/>
    <x v="3"/>
    <s v="Medium"/>
    <x v="0"/>
  </r>
  <r>
    <s v="XQJ-86887-506"/>
    <x v="433"/>
    <s v="66458-91190-YC"/>
    <s v="E-L-1"/>
    <n v="4"/>
    <x v="464"/>
    <s v="murione5@alexa.com"/>
    <x v="1"/>
    <x v="1"/>
    <x v="1"/>
    <x v="0"/>
    <n v="14.85"/>
    <n v="59.4"/>
    <x v="1"/>
    <s v="Light"/>
    <x v="0"/>
  </r>
  <r>
    <s v="CUN-90044-279"/>
    <x v="434"/>
    <s v="86646-65810-TD"/>
    <s v="L-D-0.2"/>
    <n v="4"/>
    <x v="515"/>
    <s v=""/>
    <x v="0"/>
    <x v="3"/>
    <x v="2"/>
    <x v="3"/>
    <n v="3.8849999999999998"/>
    <n v="15.54"/>
    <x v="3"/>
    <s v="Dark"/>
    <x v="0"/>
  </r>
  <r>
    <s v="ICC-73030-502"/>
    <x v="435"/>
    <s v="59480-02795-IU"/>
    <s v="A-L-1"/>
    <n v="3"/>
    <x v="516"/>
    <s v="raynoldfj@ustream.tv"/>
    <x v="0"/>
    <x v="2"/>
    <x v="1"/>
    <x v="0"/>
    <n v="12.95"/>
    <n v="38.849999999999994"/>
    <x v="2"/>
    <s v="Light"/>
    <x v="0"/>
  </r>
  <r>
    <s v="ADP-04506-084"/>
    <x v="436"/>
    <s v="61809-87758-LJ"/>
    <s v="E-M-2.5"/>
    <n v="6"/>
    <x v="517"/>
    <s v=""/>
    <x v="0"/>
    <x v="1"/>
    <x v="0"/>
    <x v="2"/>
    <n v="31.624999999999996"/>
    <n v="189.74999999999997"/>
    <x v="1"/>
    <s v="Medium"/>
    <x v="0"/>
  </r>
  <r>
    <s v="PNU-22150-408"/>
    <x v="437"/>
    <s v="77408-43873-RS"/>
    <s v="A-D-0.2"/>
    <n v="6"/>
    <x v="518"/>
    <s v=""/>
    <x v="1"/>
    <x v="2"/>
    <x v="2"/>
    <x v="3"/>
    <n v="2.9849999999999999"/>
    <n v="17.91"/>
    <x v="2"/>
    <s v="Dark"/>
    <x v="0"/>
  </r>
  <r>
    <s v="VSQ-07182-513"/>
    <x v="438"/>
    <s v="18366-65239-WF"/>
    <s v="L-L-0.2"/>
    <n v="6"/>
    <x v="519"/>
    <s v="bgrecefm@naver.com"/>
    <x v="2"/>
    <x v="3"/>
    <x v="1"/>
    <x v="3"/>
    <n v="4.7549999999999999"/>
    <n v="28.53"/>
    <x v="3"/>
    <s v="Light"/>
    <x v="1"/>
  </r>
  <r>
    <s v="SPF-31673-217"/>
    <x v="439"/>
    <s v="19485-98072-PS"/>
    <s v="E-M-1"/>
    <n v="6"/>
    <x v="520"/>
    <s v="dflintiffg1@e-recht24.de"/>
    <x v="2"/>
    <x v="1"/>
    <x v="0"/>
    <x v="0"/>
    <n v="13.75"/>
    <n v="82.5"/>
    <x v="1"/>
    <s v="Medium"/>
    <x v="1"/>
  </r>
  <r>
    <s v="NEX-63825-598"/>
    <x v="175"/>
    <s v="72072-33025-SD"/>
    <s v="R-L-0.5"/>
    <n v="2"/>
    <x v="521"/>
    <s v="athysfo@cdc.gov"/>
    <x v="0"/>
    <x v="0"/>
    <x v="1"/>
    <x v="1"/>
    <n v="7.169999999999999"/>
    <n v="14.339999999999998"/>
    <x v="0"/>
    <s v="Light"/>
    <x v="1"/>
  </r>
  <r>
    <s v="XPG-66112-335"/>
    <x v="440"/>
    <s v="58118-22461-GC"/>
    <s v="R-D-2.5"/>
    <n v="4"/>
    <x v="522"/>
    <s v="jchuggfp@about.me"/>
    <x v="0"/>
    <x v="0"/>
    <x v="2"/>
    <x v="2"/>
    <n v="20.584999999999997"/>
    <n v="82.339999999999989"/>
    <x v="0"/>
    <s v="Dark"/>
    <x v="1"/>
  </r>
  <r>
    <s v="NSQ-72210-345"/>
    <x v="441"/>
    <s v="90940-63327-DJ"/>
    <s v="A-M-0.2"/>
    <n v="6"/>
    <x v="523"/>
    <s v="akelstonfq@sakura.ne.jp"/>
    <x v="0"/>
    <x v="2"/>
    <x v="0"/>
    <x v="3"/>
    <n v="3.375"/>
    <n v="20.25"/>
    <x v="2"/>
    <s v="Medium"/>
    <x v="0"/>
  </r>
  <r>
    <s v="XRR-28376-277"/>
    <x v="442"/>
    <s v="64481-42546-II"/>
    <s v="R-L-2.5"/>
    <n v="6"/>
    <x v="524"/>
    <s v=""/>
    <x v="1"/>
    <x v="0"/>
    <x v="1"/>
    <x v="2"/>
    <n v="27.484999999999996"/>
    <n v="164.90999999999997"/>
    <x v="0"/>
    <s v="Light"/>
    <x v="1"/>
  </r>
  <r>
    <s v="WHQ-25197-475"/>
    <x v="443"/>
    <s v="27536-28463-NJ"/>
    <s v="L-L-0.2"/>
    <n v="4"/>
    <x v="525"/>
    <s v="cmottramfs@harvard.edu"/>
    <x v="0"/>
    <x v="3"/>
    <x v="1"/>
    <x v="3"/>
    <n v="4.7549999999999999"/>
    <n v="19.02"/>
    <x v="3"/>
    <s v="Light"/>
    <x v="0"/>
  </r>
  <r>
    <s v="HMB-30634-745"/>
    <x v="216"/>
    <s v="19485-98072-PS"/>
    <s v="A-D-2.5"/>
    <n v="6"/>
    <x v="520"/>
    <s v="dflintiffg1@e-recht24.de"/>
    <x v="2"/>
    <x v="2"/>
    <x v="2"/>
    <x v="2"/>
    <n v="22.884999999999998"/>
    <n v="137.31"/>
    <x v="2"/>
    <s v="Dark"/>
    <x v="1"/>
  </r>
  <r>
    <s v="XTL-68000-371"/>
    <x v="444"/>
    <s v="70140-82812-KD"/>
    <s v="A-M-0.5"/>
    <n v="4"/>
    <x v="526"/>
    <s v="dsangwinfu@weebly.com"/>
    <x v="0"/>
    <x v="2"/>
    <x v="0"/>
    <x v="1"/>
    <n v="6.75"/>
    <n v="27"/>
    <x v="2"/>
    <s v="Medium"/>
    <x v="1"/>
  </r>
  <r>
    <s v="YES-51109-625"/>
    <x v="37"/>
    <s v="91895-55605-LS"/>
    <s v="E-L-0.5"/>
    <n v="4"/>
    <x v="527"/>
    <s v="eaizikowitzfv@virginia.edu"/>
    <x v="2"/>
    <x v="1"/>
    <x v="1"/>
    <x v="1"/>
    <n v="8.91"/>
    <n v="35.64"/>
    <x v="1"/>
    <s v="Light"/>
    <x v="1"/>
  </r>
  <r>
    <s v="EAY-89850-211"/>
    <x v="445"/>
    <s v="43155-71724-XP"/>
    <s v="A-D-0.2"/>
    <n v="2"/>
    <x v="528"/>
    <s v=""/>
    <x v="0"/>
    <x v="2"/>
    <x v="2"/>
    <x v="3"/>
    <n v="2.9849999999999999"/>
    <n v="5.97"/>
    <x v="2"/>
    <s v="Dark"/>
    <x v="0"/>
  </r>
  <r>
    <s v="IOQ-84840-827"/>
    <x v="446"/>
    <s v="32038-81174-JF"/>
    <s v="A-M-1"/>
    <n v="6"/>
    <x v="529"/>
    <s v="cvenourfx@ask.com"/>
    <x v="0"/>
    <x v="2"/>
    <x v="0"/>
    <x v="0"/>
    <n v="11.25"/>
    <n v="67.5"/>
    <x v="2"/>
    <s v="Medium"/>
    <x v="1"/>
  </r>
  <r>
    <s v="FBD-56220-430"/>
    <x v="245"/>
    <s v="59205-20324-NB"/>
    <s v="R-L-0.2"/>
    <n v="6"/>
    <x v="530"/>
    <s v="mharbyfy@163.com"/>
    <x v="0"/>
    <x v="0"/>
    <x v="1"/>
    <x v="3"/>
    <n v="3.5849999999999995"/>
    <n v="21.509999999999998"/>
    <x v="0"/>
    <s v="Light"/>
    <x v="0"/>
  </r>
  <r>
    <s v="COV-52659-202"/>
    <x v="447"/>
    <s v="99899-54612-NX"/>
    <s v="L-M-2.5"/>
    <n v="2"/>
    <x v="531"/>
    <s v="rthickpennyfz@cafepress.com"/>
    <x v="0"/>
    <x v="3"/>
    <x v="0"/>
    <x v="2"/>
    <n v="33.464999999999996"/>
    <n v="66.929999999999993"/>
    <x v="3"/>
    <s v="Medium"/>
    <x v="1"/>
  </r>
  <r>
    <s v="YUO-76652-814"/>
    <x v="448"/>
    <s v="26248-84194-FI"/>
    <s v="A-D-0.2"/>
    <n v="6"/>
    <x v="532"/>
    <s v="pormerodg0@redcross.org"/>
    <x v="0"/>
    <x v="2"/>
    <x v="2"/>
    <x v="3"/>
    <n v="2.9849999999999999"/>
    <n v="17.91"/>
    <x v="2"/>
    <s v="Dark"/>
    <x v="1"/>
  </r>
  <r>
    <s v="PBT-36926-102"/>
    <x v="344"/>
    <s v="19485-98072-PS"/>
    <s v="L-M-1"/>
    <n v="4"/>
    <x v="520"/>
    <s v="dflintiffg1@e-recht24.de"/>
    <x v="2"/>
    <x v="3"/>
    <x v="0"/>
    <x v="0"/>
    <n v="14.55"/>
    <n v="58.2"/>
    <x v="3"/>
    <s v="Medium"/>
    <x v="1"/>
  </r>
  <r>
    <s v="BLV-60087-454"/>
    <x v="152"/>
    <s v="84493-71314-WX"/>
    <s v="E-L-0.2"/>
    <n v="3"/>
    <x v="533"/>
    <s v="tzanettig2@gravatar.com"/>
    <x v="1"/>
    <x v="1"/>
    <x v="1"/>
    <x v="3"/>
    <n v="4.4550000000000001"/>
    <n v="13.365"/>
    <x v="1"/>
    <s v="Light"/>
    <x v="1"/>
  </r>
  <r>
    <s v="BLV-60087-454"/>
    <x v="152"/>
    <s v="84493-71314-WX"/>
    <s v="A-M-0.5"/>
    <n v="5"/>
    <x v="533"/>
    <s v="tzanettig2@gravatar.com"/>
    <x v="1"/>
    <x v="2"/>
    <x v="0"/>
    <x v="1"/>
    <n v="6.75"/>
    <n v="33.75"/>
    <x v="2"/>
    <s v="Medium"/>
    <x v="1"/>
  </r>
  <r>
    <s v="QYC-63914-195"/>
    <x v="449"/>
    <s v="39789-43945-IV"/>
    <s v="E-L-1"/>
    <n v="3"/>
    <x v="534"/>
    <s v="rkirtleyg4@hatena.ne.jp"/>
    <x v="0"/>
    <x v="1"/>
    <x v="1"/>
    <x v="0"/>
    <n v="14.85"/>
    <n v="44.55"/>
    <x v="1"/>
    <s v="Light"/>
    <x v="0"/>
  </r>
  <r>
    <s v="OIB-77163-890"/>
    <x v="450"/>
    <s v="38972-89678-ZM"/>
    <s v="E-L-0.5"/>
    <n v="5"/>
    <x v="535"/>
    <s v="cclemencetg5@weather.com"/>
    <x v="2"/>
    <x v="1"/>
    <x v="1"/>
    <x v="1"/>
    <n v="8.91"/>
    <n v="44.55"/>
    <x v="1"/>
    <s v="Light"/>
    <x v="0"/>
  </r>
  <r>
    <s v="SGS-87525-238"/>
    <x v="451"/>
    <s v="91465-84526-IJ"/>
    <s v="E-D-1"/>
    <n v="5"/>
    <x v="536"/>
    <s v="rdonetg6@oakley.com"/>
    <x v="0"/>
    <x v="1"/>
    <x v="2"/>
    <x v="0"/>
    <n v="12.15"/>
    <n v="60.75"/>
    <x v="1"/>
    <s v="Dark"/>
    <x v="1"/>
  </r>
  <r>
    <s v="GQR-12490-152"/>
    <x v="83"/>
    <s v="22832-98538-RB"/>
    <s v="R-L-0.2"/>
    <n v="1"/>
    <x v="537"/>
    <s v="sgaweng7@creativecommons.org"/>
    <x v="0"/>
    <x v="0"/>
    <x v="1"/>
    <x v="3"/>
    <n v="3.5849999999999995"/>
    <n v="3.5849999999999995"/>
    <x v="0"/>
    <s v="Light"/>
    <x v="0"/>
  </r>
  <r>
    <s v="UOJ-28238-299"/>
    <x v="452"/>
    <s v="30844-91890-ZA"/>
    <s v="R-L-0.2"/>
    <n v="6"/>
    <x v="538"/>
    <s v="rreadieg8@guardian.co.uk"/>
    <x v="0"/>
    <x v="0"/>
    <x v="1"/>
    <x v="3"/>
    <n v="3.5849999999999995"/>
    <n v="21.509999999999998"/>
    <x v="0"/>
    <s v="Light"/>
    <x v="1"/>
  </r>
  <r>
    <s v="ETD-58130-674"/>
    <x v="453"/>
    <s v="05325-97750-WP"/>
    <s v="E-M-0.5"/>
    <n v="2"/>
    <x v="539"/>
    <s v="cverissimogh@theglobeandmail.com"/>
    <x v="2"/>
    <x v="1"/>
    <x v="0"/>
    <x v="1"/>
    <n v="8.25"/>
    <n v="16.5"/>
    <x v="1"/>
    <s v="Medium"/>
    <x v="0"/>
  </r>
  <r>
    <s v="UPF-60123-025"/>
    <x v="454"/>
    <s v="88992-49081-AT"/>
    <s v="R-L-2.5"/>
    <n v="3"/>
    <x v="540"/>
    <s v=""/>
    <x v="0"/>
    <x v="0"/>
    <x v="1"/>
    <x v="2"/>
    <n v="27.484999999999996"/>
    <n v="82.454999999999984"/>
    <x v="0"/>
    <s v="Light"/>
    <x v="1"/>
  </r>
  <r>
    <s v="NQS-01613-687"/>
    <x v="455"/>
    <s v="10204-31464-SA"/>
    <s v="L-D-0.5"/>
    <n v="1"/>
    <x v="541"/>
    <s v="bogb@elpais.com"/>
    <x v="0"/>
    <x v="3"/>
    <x v="2"/>
    <x v="1"/>
    <n v="7.77"/>
    <n v="7.77"/>
    <x v="3"/>
    <s v="Dark"/>
    <x v="0"/>
  </r>
  <r>
    <s v="MGH-36050-573"/>
    <x v="456"/>
    <s v="75156-80911-YT"/>
    <s v="R-M-0.5"/>
    <n v="2"/>
    <x v="542"/>
    <s v="vstansburygc@unblog.fr"/>
    <x v="0"/>
    <x v="0"/>
    <x v="0"/>
    <x v="1"/>
    <n v="5.97"/>
    <n v="11.94"/>
    <x v="0"/>
    <s v="Medium"/>
    <x v="0"/>
  </r>
  <r>
    <s v="UVF-59322-459"/>
    <x v="373"/>
    <s v="53971-49906-PZ"/>
    <s v="E-L-2.5"/>
    <n v="6"/>
    <x v="543"/>
    <s v="dheinonengd@printfriendly.com"/>
    <x v="0"/>
    <x v="1"/>
    <x v="1"/>
    <x v="2"/>
    <n v="34.154999999999994"/>
    <n v="204.92999999999995"/>
    <x v="1"/>
    <s v="Light"/>
    <x v="1"/>
  </r>
  <r>
    <s v="VET-41158-896"/>
    <x v="457"/>
    <s v="10728-17633-ST"/>
    <s v="E-M-2.5"/>
    <n v="2"/>
    <x v="544"/>
    <s v="jshentonge@google.com.hk"/>
    <x v="0"/>
    <x v="1"/>
    <x v="0"/>
    <x v="2"/>
    <n v="31.624999999999996"/>
    <n v="63.249999999999993"/>
    <x v="1"/>
    <s v="Medium"/>
    <x v="0"/>
  </r>
  <r>
    <s v="XYL-52196-459"/>
    <x v="458"/>
    <s v="13549-65017-VE"/>
    <s v="R-D-0.2"/>
    <n v="3"/>
    <x v="545"/>
    <s v="jwilkissongf@nba.com"/>
    <x v="0"/>
    <x v="0"/>
    <x v="2"/>
    <x v="3"/>
    <n v="2.6849999999999996"/>
    <n v="8.0549999999999997"/>
    <x v="0"/>
    <s v="Dark"/>
    <x v="0"/>
  </r>
  <r>
    <s v="BPZ-51283-916"/>
    <x v="264"/>
    <s v="87688-42420-TO"/>
    <s v="A-M-2.5"/>
    <n v="2"/>
    <x v="546"/>
    <s v=""/>
    <x v="0"/>
    <x v="2"/>
    <x v="0"/>
    <x v="2"/>
    <n v="25.874999999999996"/>
    <n v="51.749999999999993"/>
    <x v="2"/>
    <s v="Medium"/>
    <x v="1"/>
  </r>
  <r>
    <s v="VQW-91903-926"/>
    <x v="459"/>
    <s v="05325-97750-WP"/>
    <s v="E-D-2.5"/>
    <n v="1"/>
    <x v="539"/>
    <s v="cverissimogh@theglobeandmail.com"/>
    <x v="2"/>
    <x v="1"/>
    <x v="2"/>
    <x v="2"/>
    <n v="27.945"/>
    <n v="27.945"/>
    <x v="1"/>
    <s v="Dark"/>
    <x v="0"/>
  </r>
  <r>
    <s v="OLF-77983-457"/>
    <x v="460"/>
    <s v="51901-35210-UI"/>
    <s v="A-L-2.5"/>
    <n v="2"/>
    <x v="547"/>
    <s v="gstarcksgi@abc.net.au"/>
    <x v="0"/>
    <x v="2"/>
    <x v="1"/>
    <x v="2"/>
    <n v="29.784999999999997"/>
    <n v="59.569999999999993"/>
    <x v="2"/>
    <s v="Light"/>
    <x v="1"/>
  </r>
  <r>
    <s v="MVI-04946-827"/>
    <x v="461"/>
    <s v="62483-50867-OM"/>
    <s v="E-L-1"/>
    <n v="1"/>
    <x v="548"/>
    <s v=""/>
    <x v="2"/>
    <x v="1"/>
    <x v="1"/>
    <x v="0"/>
    <n v="14.85"/>
    <n v="14.85"/>
    <x v="1"/>
    <s v="Light"/>
    <x v="1"/>
  </r>
  <r>
    <s v="UOG-94188-104"/>
    <x v="219"/>
    <s v="92753-50029-SD"/>
    <s v="A-M-0.5"/>
    <n v="5"/>
    <x v="549"/>
    <s v="kscholardgk@sbwire.com"/>
    <x v="0"/>
    <x v="2"/>
    <x v="0"/>
    <x v="1"/>
    <n v="6.75"/>
    <n v="33.75"/>
    <x v="2"/>
    <s v="Medium"/>
    <x v="1"/>
  </r>
  <r>
    <s v="DSN-15872-519"/>
    <x v="462"/>
    <s v="53809-98498-SN"/>
    <s v="L-L-2.5"/>
    <n v="4"/>
    <x v="550"/>
    <s v="bkindleygl@wikimedia.org"/>
    <x v="0"/>
    <x v="3"/>
    <x v="1"/>
    <x v="2"/>
    <n v="36.454999999999998"/>
    <n v="145.82"/>
    <x v="3"/>
    <s v="Light"/>
    <x v="0"/>
  </r>
  <r>
    <s v="OUQ-73954-002"/>
    <x v="463"/>
    <s v="66308-13503-KD"/>
    <s v="R-M-0.2"/>
    <n v="4"/>
    <x v="551"/>
    <s v="khammettgm@dmoz.org"/>
    <x v="0"/>
    <x v="0"/>
    <x v="0"/>
    <x v="3"/>
    <n v="2.9849999999999999"/>
    <n v="11.94"/>
    <x v="0"/>
    <s v="Medium"/>
    <x v="0"/>
  </r>
  <r>
    <s v="LGL-16843-667"/>
    <x v="464"/>
    <s v="82458-87830-JE"/>
    <s v="A-D-0.2"/>
    <n v="4"/>
    <x v="552"/>
    <s v="ahulburtgn@fda.gov"/>
    <x v="0"/>
    <x v="2"/>
    <x v="2"/>
    <x v="3"/>
    <n v="2.9849999999999999"/>
    <n v="11.94"/>
    <x v="2"/>
    <s v="Dark"/>
    <x v="0"/>
  </r>
  <r>
    <s v="TCC-89722-031"/>
    <x v="465"/>
    <s v="41611-34336-WT"/>
    <s v="L-D-0.5"/>
    <n v="1"/>
    <x v="553"/>
    <s v="plauritzengo@photobucket.com"/>
    <x v="0"/>
    <x v="3"/>
    <x v="2"/>
    <x v="1"/>
    <n v="7.77"/>
    <n v="7.77"/>
    <x v="3"/>
    <s v="Dark"/>
    <x v="1"/>
  </r>
  <r>
    <s v="TRA-79507-007"/>
    <x v="466"/>
    <s v="70089-27418-UJ"/>
    <s v="R-L-2.5"/>
    <n v="4"/>
    <x v="554"/>
    <s v="aburgwingp@redcross.org"/>
    <x v="0"/>
    <x v="0"/>
    <x v="1"/>
    <x v="2"/>
    <n v="27.484999999999996"/>
    <n v="109.93999999999998"/>
    <x v="0"/>
    <s v="Light"/>
    <x v="0"/>
  </r>
  <r>
    <s v="MZJ-77284-941"/>
    <x v="467"/>
    <s v="99978-56910-BN"/>
    <s v="E-L-0.2"/>
    <n v="5"/>
    <x v="555"/>
    <s v="erolingq@google.fr"/>
    <x v="0"/>
    <x v="1"/>
    <x v="1"/>
    <x v="3"/>
    <n v="4.4550000000000001"/>
    <n v="22.274999999999999"/>
    <x v="1"/>
    <s v="Light"/>
    <x v="0"/>
  </r>
  <r>
    <s v="AXN-57779-891"/>
    <x v="468"/>
    <s v="09668-23340-IC"/>
    <s v="R-M-0.2"/>
    <n v="3"/>
    <x v="556"/>
    <s v="dfowlegr@epa.gov"/>
    <x v="0"/>
    <x v="0"/>
    <x v="0"/>
    <x v="3"/>
    <n v="2.9849999999999999"/>
    <n v="8.9550000000000001"/>
    <x v="0"/>
    <s v="Medium"/>
    <x v="1"/>
  </r>
  <r>
    <s v="PJB-15659-994"/>
    <x v="469"/>
    <s v="39457-62611-YK"/>
    <s v="L-D-2.5"/>
    <n v="4"/>
    <x v="557"/>
    <s v=""/>
    <x v="1"/>
    <x v="3"/>
    <x v="2"/>
    <x v="2"/>
    <n v="29.784999999999997"/>
    <n v="119.13999999999999"/>
    <x v="3"/>
    <s v="Dark"/>
    <x v="1"/>
  </r>
  <r>
    <s v="LTS-03470-353"/>
    <x v="470"/>
    <s v="90985-89807-RW"/>
    <s v="A-L-2.5"/>
    <n v="5"/>
    <x v="558"/>
    <s v="wpowleslandgt@soundcloud.com"/>
    <x v="0"/>
    <x v="2"/>
    <x v="1"/>
    <x v="2"/>
    <n v="29.784999999999997"/>
    <n v="148.92499999999998"/>
    <x v="2"/>
    <s v="Light"/>
    <x v="0"/>
  </r>
  <r>
    <s v="UMM-28497-689"/>
    <x v="471"/>
    <s v="05325-97750-WP"/>
    <s v="L-L-2.5"/>
    <n v="3"/>
    <x v="539"/>
    <s v="cverissimogh@theglobeandmail.com"/>
    <x v="2"/>
    <x v="3"/>
    <x v="1"/>
    <x v="2"/>
    <n v="36.454999999999998"/>
    <n v="109.36499999999999"/>
    <x v="3"/>
    <s v="Light"/>
    <x v="0"/>
  </r>
  <r>
    <s v="MJZ-93232-402"/>
    <x v="472"/>
    <s v="17816-67941-ZS"/>
    <s v="E-D-0.2"/>
    <n v="1"/>
    <x v="559"/>
    <s v="lellinghamgv@sciencedaily.com"/>
    <x v="0"/>
    <x v="1"/>
    <x v="2"/>
    <x v="3"/>
    <n v="3.645"/>
    <n v="3.645"/>
    <x v="1"/>
    <s v="Dark"/>
    <x v="0"/>
  </r>
  <r>
    <s v="UHW-74617-126"/>
    <x v="173"/>
    <s v="90816-65619-LM"/>
    <s v="E-D-2.5"/>
    <n v="2"/>
    <x v="560"/>
    <s v=""/>
    <x v="0"/>
    <x v="1"/>
    <x v="2"/>
    <x v="2"/>
    <n v="27.945"/>
    <n v="55.89"/>
    <x v="1"/>
    <s v="Dark"/>
    <x v="1"/>
  </r>
  <r>
    <s v="RIK-61730-794"/>
    <x v="473"/>
    <s v="69761-61146-KD"/>
    <s v="L-M-0.2"/>
    <n v="6"/>
    <x v="561"/>
    <s v="afendtgx@forbes.com"/>
    <x v="0"/>
    <x v="3"/>
    <x v="0"/>
    <x v="3"/>
    <n v="4.3650000000000002"/>
    <n v="26.19"/>
    <x v="3"/>
    <s v="Medium"/>
    <x v="0"/>
  </r>
  <r>
    <s v="IDJ-55379-750"/>
    <x v="474"/>
    <s v="24040-20817-QB"/>
    <s v="R-M-1"/>
    <n v="4"/>
    <x v="562"/>
    <s v="acleyburngy@lycos.com"/>
    <x v="0"/>
    <x v="0"/>
    <x v="0"/>
    <x v="0"/>
    <n v="9.9499999999999993"/>
    <n v="39.799999999999997"/>
    <x v="0"/>
    <s v="Medium"/>
    <x v="1"/>
  </r>
  <r>
    <s v="OHX-11953-965"/>
    <x v="475"/>
    <s v="19524-21432-XP"/>
    <s v="E-L-2.5"/>
    <n v="2"/>
    <x v="563"/>
    <s v="tcastiglionegz@xing.com"/>
    <x v="0"/>
    <x v="1"/>
    <x v="1"/>
    <x v="2"/>
    <n v="34.154999999999994"/>
    <n v="68.309999999999988"/>
    <x v="1"/>
    <s v="Light"/>
    <x v="1"/>
  </r>
  <r>
    <s v="TVV-42245-088"/>
    <x v="476"/>
    <s v="14398-43114-RV"/>
    <s v="A-M-0.2"/>
    <n v="4"/>
    <x v="564"/>
    <s v=""/>
    <x v="1"/>
    <x v="2"/>
    <x v="0"/>
    <x v="3"/>
    <n v="3.375"/>
    <n v="13.5"/>
    <x v="2"/>
    <s v="Medium"/>
    <x v="1"/>
  </r>
  <r>
    <s v="DYP-74337-787"/>
    <x v="431"/>
    <s v="41486-52502-QQ"/>
    <s v="R-M-0.5"/>
    <n v="1"/>
    <x v="565"/>
    <s v=""/>
    <x v="0"/>
    <x v="0"/>
    <x v="0"/>
    <x v="1"/>
    <n v="5.97"/>
    <n v="5.97"/>
    <x v="0"/>
    <s v="Medium"/>
    <x v="1"/>
  </r>
  <r>
    <s v="OKA-93124-100"/>
    <x v="477"/>
    <s v="05325-97750-WP"/>
    <s v="R-M-0.5"/>
    <n v="5"/>
    <x v="539"/>
    <s v="cverissimogh@theglobeandmail.com"/>
    <x v="2"/>
    <x v="0"/>
    <x v="0"/>
    <x v="1"/>
    <n v="5.97"/>
    <n v="29.849999999999998"/>
    <x v="0"/>
    <s v="Medium"/>
    <x v="0"/>
  </r>
  <r>
    <s v="IXW-20780-268"/>
    <x v="478"/>
    <s v="20236-64364-QL"/>
    <s v="L-L-2.5"/>
    <n v="2"/>
    <x v="566"/>
    <s v="scouronneh3@mozilla.org"/>
    <x v="0"/>
    <x v="3"/>
    <x v="1"/>
    <x v="2"/>
    <n v="36.454999999999998"/>
    <n v="72.91"/>
    <x v="3"/>
    <s v="Light"/>
    <x v="0"/>
  </r>
  <r>
    <s v="NGG-24006-937"/>
    <x v="45"/>
    <s v="29102-40100-TZ"/>
    <s v="E-M-2.5"/>
    <n v="4"/>
    <x v="567"/>
    <s v="lflippellih4@github.io"/>
    <x v="2"/>
    <x v="1"/>
    <x v="0"/>
    <x v="2"/>
    <n v="31.624999999999996"/>
    <n v="126.49999999999999"/>
    <x v="1"/>
    <s v="Medium"/>
    <x v="1"/>
  </r>
  <r>
    <s v="JZC-31180-557"/>
    <x v="444"/>
    <s v="09171-42203-EB"/>
    <s v="L-M-2.5"/>
    <n v="1"/>
    <x v="568"/>
    <s v="relizabethh5@live.com"/>
    <x v="0"/>
    <x v="3"/>
    <x v="0"/>
    <x v="2"/>
    <n v="33.464999999999996"/>
    <n v="33.464999999999996"/>
    <x v="3"/>
    <s v="Medium"/>
    <x v="1"/>
  </r>
  <r>
    <s v="ZMU-63715-204"/>
    <x v="479"/>
    <s v="29060-75856-UI"/>
    <s v="E-D-1"/>
    <n v="6"/>
    <x v="569"/>
    <s v="irenhardh6@i2i.jp"/>
    <x v="0"/>
    <x v="1"/>
    <x v="2"/>
    <x v="0"/>
    <n v="12.15"/>
    <n v="72.900000000000006"/>
    <x v="1"/>
    <s v="Dark"/>
    <x v="0"/>
  </r>
  <r>
    <s v="GND-08192-056"/>
    <x v="480"/>
    <s v="17088-16989-PL"/>
    <s v="L-D-0.5"/>
    <n v="2"/>
    <x v="570"/>
    <s v="wrocheh7@xinhuanet.com"/>
    <x v="0"/>
    <x v="3"/>
    <x v="2"/>
    <x v="1"/>
    <n v="7.77"/>
    <n v="15.54"/>
    <x v="3"/>
    <s v="Dark"/>
    <x v="0"/>
  </r>
  <r>
    <s v="RYY-38961-093"/>
    <x v="481"/>
    <s v="14756-18321-CL"/>
    <s v="A-M-0.2"/>
    <n v="6"/>
    <x v="571"/>
    <s v="lalawayhh@weather.com"/>
    <x v="0"/>
    <x v="2"/>
    <x v="0"/>
    <x v="3"/>
    <n v="3.375"/>
    <n v="20.25"/>
    <x v="2"/>
    <s v="Medium"/>
    <x v="1"/>
  </r>
  <r>
    <s v="CVA-64996-969"/>
    <x v="478"/>
    <s v="13324-78688-MI"/>
    <s v="A-L-1"/>
    <n v="6"/>
    <x v="572"/>
    <s v="codgaardh9@nsw.gov.au"/>
    <x v="0"/>
    <x v="2"/>
    <x v="1"/>
    <x v="0"/>
    <n v="12.95"/>
    <n v="77.699999999999989"/>
    <x v="2"/>
    <s v="Light"/>
    <x v="1"/>
  </r>
  <r>
    <s v="XTH-67276-442"/>
    <x v="482"/>
    <s v="73799-04749-BM"/>
    <s v="L-M-2.5"/>
    <n v="4"/>
    <x v="573"/>
    <s v="bbyrdha@4shared.com"/>
    <x v="0"/>
    <x v="3"/>
    <x v="0"/>
    <x v="2"/>
    <n v="33.464999999999996"/>
    <n v="133.85999999999999"/>
    <x v="3"/>
    <s v="Medium"/>
    <x v="1"/>
  </r>
  <r>
    <s v="PVU-02950-470"/>
    <x v="353"/>
    <s v="01927-46702-YT"/>
    <s v="E-D-1"/>
    <n v="1"/>
    <x v="574"/>
    <s v=""/>
    <x v="2"/>
    <x v="1"/>
    <x v="2"/>
    <x v="0"/>
    <n v="12.15"/>
    <n v="12.15"/>
    <x v="1"/>
    <s v="Dark"/>
    <x v="1"/>
  </r>
  <r>
    <s v="XSN-26809-910"/>
    <x v="199"/>
    <s v="80467-17137-TO"/>
    <s v="E-M-2.5"/>
    <n v="2"/>
    <x v="575"/>
    <s v="dchardinhc@nhs.uk"/>
    <x v="1"/>
    <x v="1"/>
    <x v="0"/>
    <x v="2"/>
    <n v="31.624999999999996"/>
    <n v="63.249999999999993"/>
    <x v="1"/>
    <s v="Medium"/>
    <x v="0"/>
  </r>
  <r>
    <s v="UDN-88321-005"/>
    <x v="372"/>
    <s v="14640-87215-BK"/>
    <s v="R-L-0.5"/>
    <n v="5"/>
    <x v="576"/>
    <s v="hradbonehd@newsvine.com"/>
    <x v="0"/>
    <x v="0"/>
    <x v="1"/>
    <x v="1"/>
    <n v="7.169999999999999"/>
    <n v="35.849999999999994"/>
    <x v="0"/>
    <s v="Light"/>
    <x v="1"/>
  </r>
  <r>
    <s v="EXP-21628-670"/>
    <x v="267"/>
    <s v="94447-35885-HK"/>
    <s v="A-M-2.5"/>
    <n v="3"/>
    <x v="577"/>
    <s v="wbernthhe@miitbeian.gov.cn"/>
    <x v="0"/>
    <x v="2"/>
    <x v="0"/>
    <x v="2"/>
    <n v="25.874999999999996"/>
    <n v="77.624999999999986"/>
    <x v="2"/>
    <s v="Medium"/>
    <x v="1"/>
  </r>
  <r>
    <s v="VGM-24161-361"/>
    <x v="480"/>
    <s v="71034-49694-CS"/>
    <s v="E-M-2.5"/>
    <n v="2"/>
    <x v="578"/>
    <s v="bacarsonhf@cnn.com"/>
    <x v="0"/>
    <x v="1"/>
    <x v="0"/>
    <x v="2"/>
    <n v="31.624999999999996"/>
    <n v="63.249999999999993"/>
    <x v="1"/>
    <s v="Medium"/>
    <x v="0"/>
  </r>
  <r>
    <s v="PKN-19556-918"/>
    <x v="483"/>
    <s v="00445-42781-KX"/>
    <s v="E-L-0.2"/>
    <n v="6"/>
    <x v="579"/>
    <s v="fbrighamhg@blog.com"/>
    <x v="1"/>
    <x v="1"/>
    <x v="1"/>
    <x v="3"/>
    <n v="4.4550000000000001"/>
    <n v="26.73"/>
    <x v="1"/>
    <s v="Light"/>
    <x v="0"/>
  </r>
  <r>
    <s v="PKN-19556-918"/>
    <x v="483"/>
    <s v="00445-42781-KX"/>
    <s v="L-D-0.5"/>
    <n v="4"/>
    <x v="579"/>
    <s v="fbrighamhg@blog.com"/>
    <x v="1"/>
    <x v="3"/>
    <x v="2"/>
    <x v="1"/>
    <n v="7.77"/>
    <n v="31.08"/>
    <x v="3"/>
    <s v="Dark"/>
    <x v="0"/>
  </r>
  <r>
    <s v="PKN-19556-918"/>
    <x v="483"/>
    <s v="00445-42781-KX"/>
    <s v="A-D-0.2"/>
    <n v="1"/>
    <x v="579"/>
    <s v="fbrighamhg@blog.com"/>
    <x v="1"/>
    <x v="2"/>
    <x v="2"/>
    <x v="3"/>
    <n v="2.9849999999999999"/>
    <n v="2.9849999999999999"/>
    <x v="2"/>
    <s v="Dark"/>
    <x v="0"/>
  </r>
  <r>
    <s v="PKN-19556-918"/>
    <x v="483"/>
    <s v="00445-42781-KX"/>
    <s v="R-D-2.5"/>
    <n v="5"/>
    <x v="579"/>
    <s v="fbrighamhg@blog.com"/>
    <x v="1"/>
    <x v="0"/>
    <x v="2"/>
    <x v="2"/>
    <n v="20.584999999999997"/>
    <n v="102.92499999999998"/>
    <x v="0"/>
    <s v="Dark"/>
    <x v="0"/>
  </r>
  <r>
    <s v="DXQ-44537-297"/>
    <x v="484"/>
    <s v="96116-24737-LV"/>
    <s v="E-L-0.5"/>
    <n v="4"/>
    <x v="580"/>
    <s v="myoxenhk@google.com"/>
    <x v="0"/>
    <x v="1"/>
    <x v="1"/>
    <x v="1"/>
    <n v="8.91"/>
    <n v="35.64"/>
    <x v="1"/>
    <s v="Light"/>
    <x v="1"/>
  </r>
  <r>
    <s v="BPC-54727-307"/>
    <x v="485"/>
    <s v="18684-73088-YL"/>
    <s v="R-L-1"/>
    <n v="4"/>
    <x v="581"/>
    <s v="gmcgavinhl@histats.com"/>
    <x v="0"/>
    <x v="0"/>
    <x v="1"/>
    <x v="0"/>
    <n v="11.95"/>
    <n v="47.8"/>
    <x v="0"/>
    <s v="Light"/>
    <x v="1"/>
  </r>
  <r>
    <s v="KSH-47717-456"/>
    <x v="486"/>
    <s v="74671-55639-TU"/>
    <s v="L-M-1"/>
    <n v="3"/>
    <x v="582"/>
    <s v="luttermarehm@engadget.com"/>
    <x v="0"/>
    <x v="3"/>
    <x v="0"/>
    <x v="0"/>
    <n v="14.55"/>
    <n v="43.650000000000006"/>
    <x v="3"/>
    <s v="Medium"/>
    <x v="1"/>
  </r>
  <r>
    <s v="ANK-59436-446"/>
    <x v="487"/>
    <s v="17488-65879-XL"/>
    <s v="E-L-0.5"/>
    <n v="4"/>
    <x v="583"/>
    <s v="edambrogiohn@techcrunch.com"/>
    <x v="0"/>
    <x v="1"/>
    <x v="1"/>
    <x v="1"/>
    <n v="8.91"/>
    <n v="35.64"/>
    <x v="1"/>
    <s v="Light"/>
    <x v="0"/>
  </r>
  <r>
    <s v="AYY-83051-752"/>
    <x v="488"/>
    <s v="46431-09298-OU"/>
    <s v="L-L-1"/>
    <n v="6"/>
    <x v="584"/>
    <s v="cwinchcombeho@jiathis.com"/>
    <x v="0"/>
    <x v="3"/>
    <x v="1"/>
    <x v="0"/>
    <n v="15.85"/>
    <n v="95.1"/>
    <x v="3"/>
    <s v="Light"/>
    <x v="0"/>
  </r>
  <r>
    <s v="CSW-59644-267"/>
    <x v="489"/>
    <s v="60378-26473-FE"/>
    <s v="E-M-2.5"/>
    <n v="1"/>
    <x v="585"/>
    <s v="bpaumierhp@umn.edu"/>
    <x v="1"/>
    <x v="1"/>
    <x v="0"/>
    <x v="2"/>
    <n v="31.624999999999996"/>
    <n v="31.624999999999996"/>
    <x v="1"/>
    <s v="Medium"/>
    <x v="0"/>
  </r>
  <r>
    <s v="ITY-92466-909"/>
    <x v="162"/>
    <s v="34927-68586-ZV"/>
    <s v="A-M-2.5"/>
    <n v="3"/>
    <x v="586"/>
    <s v=""/>
    <x v="1"/>
    <x v="2"/>
    <x v="0"/>
    <x v="2"/>
    <n v="25.874999999999996"/>
    <n v="77.624999999999986"/>
    <x v="2"/>
    <s v="Medium"/>
    <x v="0"/>
  </r>
  <r>
    <s v="IGW-04801-466"/>
    <x v="490"/>
    <s v="29051-27555-GD"/>
    <s v="L-D-0.2"/>
    <n v="1"/>
    <x v="587"/>
    <s v="jcapeyhr@bravesites.com"/>
    <x v="0"/>
    <x v="3"/>
    <x v="2"/>
    <x v="3"/>
    <n v="3.8849999999999998"/>
    <n v="3.8849999999999998"/>
    <x v="3"/>
    <s v="Dark"/>
    <x v="0"/>
  </r>
  <r>
    <s v="LJN-34281-921"/>
    <x v="491"/>
    <s v="52143-35672-JF"/>
    <s v="R-L-2.5"/>
    <n v="5"/>
    <x v="588"/>
    <s v="tmathonneti0@google.co.jp"/>
    <x v="0"/>
    <x v="0"/>
    <x v="1"/>
    <x v="2"/>
    <n v="27.484999999999996"/>
    <n v="137.42499999999998"/>
    <x v="0"/>
    <s v="Light"/>
    <x v="1"/>
  </r>
  <r>
    <s v="BWZ-46364-547"/>
    <x v="301"/>
    <s v="64918-67725-MN"/>
    <s v="R-L-1"/>
    <n v="3"/>
    <x v="589"/>
    <s v="ybasillht@theguardian.com"/>
    <x v="0"/>
    <x v="0"/>
    <x v="1"/>
    <x v="0"/>
    <n v="11.95"/>
    <n v="35.849999999999994"/>
    <x v="0"/>
    <s v="Light"/>
    <x v="0"/>
  </r>
  <r>
    <s v="SBC-95710-706"/>
    <x v="194"/>
    <s v="85634-61759-ND"/>
    <s v="E-M-0.2"/>
    <n v="2"/>
    <x v="590"/>
    <s v="mbaistowhu@i2i.jp"/>
    <x v="2"/>
    <x v="1"/>
    <x v="0"/>
    <x v="3"/>
    <n v="4.125"/>
    <n v="8.25"/>
    <x v="1"/>
    <s v="Medium"/>
    <x v="0"/>
  </r>
  <r>
    <s v="WRN-55114-031"/>
    <x v="26"/>
    <s v="40180-22940-QB"/>
    <s v="E-L-2.5"/>
    <n v="3"/>
    <x v="591"/>
    <s v="cpallanthv@typepad.com"/>
    <x v="0"/>
    <x v="1"/>
    <x v="1"/>
    <x v="2"/>
    <n v="34.154999999999994"/>
    <n v="102.46499999999997"/>
    <x v="1"/>
    <s v="Light"/>
    <x v="0"/>
  </r>
  <r>
    <s v="TZU-64255-831"/>
    <x v="125"/>
    <s v="34666-76738-SQ"/>
    <s v="R-D-2.5"/>
    <n v="2"/>
    <x v="592"/>
    <s v=""/>
    <x v="0"/>
    <x v="0"/>
    <x v="2"/>
    <x v="2"/>
    <n v="20.584999999999997"/>
    <n v="41.169999999999995"/>
    <x v="0"/>
    <s v="Dark"/>
    <x v="1"/>
  </r>
  <r>
    <s v="JVF-91003-729"/>
    <x v="492"/>
    <s v="98536-88616-FF"/>
    <s v="A-D-2.5"/>
    <n v="3"/>
    <x v="593"/>
    <s v="dohx@redcross.org"/>
    <x v="0"/>
    <x v="2"/>
    <x v="2"/>
    <x v="2"/>
    <n v="22.884999999999998"/>
    <n v="68.655000000000001"/>
    <x v="2"/>
    <s v="Dark"/>
    <x v="0"/>
  </r>
  <r>
    <s v="MVB-22135-665"/>
    <x v="462"/>
    <s v="55621-06130-SA"/>
    <s v="A-D-1"/>
    <n v="1"/>
    <x v="594"/>
    <s v="drallinhy@howstuffworks.com"/>
    <x v="0"/>
    <x v="2"/>
    <x v="2"/>
    <x v="0"/>
    <n v="9.9499999999999993"/>
    <n v="9.9499999999999993"/>
    <x v="2"/>
    <s v="Dark"/>
    <x v="0"/>
  </r>
  <r>
    <s v="CKS-47815-571"/>
    <x v="493"/>
    <s v="45666-86771-EH"/>
    <s v="L-L-0.5"/>
    <n v="3"/>
    <x v="595"/>
    <s v="achillhz@epa.gov"/>
    <x v="2"/>
    <x v="3"/>
    <x v="1"/>
    <x v="1"/>
    <n v="9.51"/>
    <n v="28.53"/>
    <x v="3"/>
    <s v="Light"/>
    <x v="0"/>
  </r>
  <r>
    <s v="OAW-17338-101"/>
    <x v="494"/>
    <s v="52143-35672-JF"/>
    <s v="R-D-0.2"/>
    <n v="6"/>
    <x v="588"/>
    <s v="tmathonneti0@google.co.jp"/>
    <x v="0"/>
    <x v="0"/>
    <x v="2"/>
    <x v="3"/>
    <n v="2.6849999999999996"/>
    <n v="16.11"/>
    <x v="0"/>
    <s v="Dark"/>
    <x v="1"/>
  </r>
  <r>
    <s v="ALP-37623-536"/>
    <x v="495"/>
    <s v="24689-69376-XX"/>
    <s v="L-L-1"/>
    <n v="6"/>
    <x v="596"/>
    <s v="cdenysi1@is.gd"/>
    <x v="2"/>
    <x v="3"/>
    <x v="1"/>
    <x v="0"/>
    <n v="15.85"/>
    <n v="95.1"/>
    <x v="3"/>
    <s v="Light"/>
    <x v="1"/>
  </r>
  <r>
    <s v="WMU-87639-108"/>
    <x v="496"/>
    <s v="71891-51101-VQ"/>
    <s v="R-D-0.5"/>
    <n v="1"/>
    <x v="597"/>
    <s v="cstebbingsi2@drupal.org"/>
    <x v="0"/>
    <x v="0"/>
    <x v="2"/>
    <x v="1"/>
    <n v="5.3699999999999992"/>
    <n v="5.3699999999999992"/>
    <x v="0"/>
    <s v="Dark"/>
    <x v="0"/>
  </r>
  <r>
    <s v="USN-44968-231"/>
    <x v="497"/>
    <s v="71749-05400-CN"/>
    <s v="R-L-1"/>
    <n v="4"/>
    <x v="598"/>
    <s v=""/>
    <x v="0"/>
    <x v="0"/>
    <x v="1"/>
    <x v="0"/>
    <n v="11.95"/>
    <n v="47.8"/>
    <x v="0"/>
    <s v="Light"/>
    <x v="1"/>
  </r>
  <r>
    <s v="YZG-20575-451"/>
    <x v="498"/>
    <s v="64845-00270-NO"/>
    <s v="L-L-1"/>
    <n v="4"/>
    <x v="599"/>
    <s v="rzywickii4@ifeng.com"/>
    <x v="1"/>
    <x v="3"/>
    <x v="1"/>
    <x v="0"/>
    <n v="15.85"/>
    <n v="63.4"/>
    <x v="3"/>
    <s v="Light"/>
    <x v="1"/>
  </r>
  <r>
    <s v="HTH-52867-812"/>
    <x v="382"/>
    <s v="29851-36402-UX"/>
    <s v="A-M-2.5"/>
    <n v="4"/>
    <x v="600"/>
    <s v="aburgetti5@moonfruit.com"/>
    <x v="0"/>
    <x v="2"/>
    <x v="0"/>
    <x v="2"/>
    <n v="25.874999999999996"/>
    <n v="103.49999999999999"/>
    <x v="2"/>
    <s v="Medium"/>
    <x v="1"/>
  </r>
  <r>
    <s v="FWU-44971-444"/>
    <x v="499"/>
    <s v="12190-25421-WM"/>
    <s v="A-D-2.5"/>
    <n v="3"/>
    <x v="601"/>
    <s v="mmalloyi6@seattletimes.com"/>
    <x v="0"/>
    <x v="2"/>
    <x v="2"/>
    <x v="2"/>
    <n v="22.884999999999998"/>
    <n v="68.655000000000001"/>
    <x v="2"/>
    <s v="Dark"/>
    <x v="1"/>
  </r>
  <r>
    <s v="EQI-82205-066"/>
    <x v="500"/>
    <s v="52316-30571-GD"/>
    <s v="R-M-2.5"/>
    <n v="2"/>
    <x v="602"/>
    <s v="mmcparlandi7@w3.org"/>
    <x v="0"/>
    <x v="0"/>
    <x v="0"/>
    <x v="2"/>
    <n v="22.884999999999998"/>
    <n v="45.769999999999996"/>
    <x v="0"/>
    <s v="Medium"/>
    <x v="0"/>
  </r>
  <r>
    <s v="NAR-00747-074"/>
    <x v="501"/>
    <s v="23243-92649-RY"/>
    <s v="L-D-1"/>
    <n v="4"/>
    <x v="603"/>
    <s v="sjennaroyi8@purevolume.com"/>
    <x v="0"/>
    <x v="3"/>
    <x v="2"/>
    <x v="0"/>
    <n v="12.95"/>
    <n v="51.8"/>
    <x v="3"/>
    <s v="Dark"/>
    <x v="1"/>
  </r>
  <r>
    <s v="JYR-22052-185"/>
    <x v="502"/>
    <s v="39528-19971-OR"/>
    <s v="A-M-0.5"/>
    <n v="2"/>
    <x v="604"/>
    <s v="wplacei9@wsj.com"/>
    <x v="0"/>
    <x v="2"/>
    <x v="0"/>
    <x v="1"/>
    <n v="6.75"/>
    <n v="13.5"/>
    <x v="2"/>
    <s v="Medium"/>
    <x v="0"/>
  </r>
  <r>
    <s v="XKO-54097-932"/>
    <x v="503"/>
    <s v="32743-78448-KT"/>
    <s v="E-M-0.5"/>
    <n v="3"/>
    <x v="605"/>
    <s v="jmillettik@addtoany.com"/>
    <x v="0"/>
    <x v="1"/>
    <x v="0"/>
    <x v="1"/>
    <n v="8.25"/>
    <n v="24.75"/>
    <x v="1"/>
    <s v="Medium"/>
    <x v="0"/>
  </r>
  <r>
    <s v="HXA-72415-025"/>
    <x v="504"/>
    <s v="93417-12322-YB"/>
    <s v="A-D-2.5"/>
    <n v="2"/>
    <x v="606"/>
    <s v="dgadsdenib@google.com.hk"/>
    <x v="1"/>
    <x v="2"/>
    <x v="2"/>
    <x v="2"/>
    <n v="22.884999999999998"/>
    <n v="45.769999999999996"/>
    <x v="2"/>
    <s v="Dark"/>
    <x v="0"/>
  </r>
  <r>
    <s v="MJF-20065-335"/>
    <x v="497"/>
    <s v="56891-86662-UY"/>
    <s v="E-L-0.5"/>
    <n v="6"/>
    <x v="607"/>
    <s v="vwakelinic@unesco.org"/>
    <x v="0"/>
    <x v="1"/>
    <x v="1"/>
    <x v="1"/>
    <n v="8.91"/>
    <n v="53.46"/>
    <x v="1"/>
    <s v="Light"/>
    <x v="1"/>
  </r>
  <r>
    <s v="GFI-83300-059"/>
    <x v="501"/>
    <s v="40414-26467-VE"/>
    <s v="A-M-0.2"/>
    <n v="6"/>
    <x v="608"/>
    <s v="acampsallid@zimbio.com"/>
    <x v="0"/>
    <x v="2"/>
    <x v="0"/>
    <x v="3"/>
    <n v="3.375"/>
    <n v="20.25"/>
    <x v="2"/>
    <s v="Medium"/>
    <x v="0"/>
  </r>
  <r>
    <s v="WJR-51493-682"/>
    <x v="1"/>
    <s v="87858-83734-RK"/>
    <s v="L-D-2.5"/>
    <n v="5"/>
    <x v="609"/>
    <s v="smosebyie@stanford.edu"/>
    <x v="0"/>
    <x v="3"/>
    <x v="2"/>
    <x v="2"/>
    <n v="29.784999999999997"/>
    <n v="148.92499999999998"/>
    <x v="3"/>
    <s v="Dark"/>
    <x v="1"/>
  </r>
  <r>
    <s v="SHP-55648-472"/>
    <x v="505"/>
    <s v="46818-20198-GB"/>
    <s v="A-M-1"/>
    <n v="6"/>
    <x v="610"/>
    <s v="cwassif@prweb.com"/>
    <x v="0"/>
    <x v="2"/>
    <x v="0"/>
    <x v="0"/>
    <n v="11.25"/>
    <n v="67.5"/>
    <x v="2"/>
    <s v="Medium"/>
    <x v="1"/>
  </r>
  <r>
    <s v="HYR-03455-684"/>
    <x v="506"/>
    <s v="29808-89098-XD"/>
    <s v="E-D-1"/>
    <n v="6"/>
    <x v="611"/>
    <s v="isjostromig@pbs.org"/>
    <x v="0"/>
    <x v="1"/>
    <x v="2"/>
    <x v="0"/>
    <n v="12.15"/>
    <n v="72.900000000000006"/>
    <x v="1"/>
    <s v="Dark"/>
    <x v="1"/>
  </r>
  <r>
    <s v="HYR-03455-684"/>
    <x v="506"/>
    <s v="29808-89098-XD"/>
    <s v="L-D-0.2"/>
    <n v="2"/>
    <x v="611"/>
    <s v="isjostromig@pbs.org"/>
    <x v="0"/>
    <x v="3"/>
    <x v="2"/>
    <x v="3"/>
    <n v="3.8849999999999998"/>
    <n v="7.77"/>
    <x v="3"/>
    <s v="Dark"/>
    <x v="1"/>
  </r>
  <r>
    <s v="HUG-52766-375"/>
    <x v="507"/>
    <s v="78786-77449-RQ"/>
    <s v="A-D-2.5"/>
    <n v="4"/>
    <x v="612"/>
    <s v="jbranchettii@bravesites.com"/>
    <x v="0"/>
    <x v="2"/>
    <x v="2"/>
    <x v="2"/>
    <n v="22.884999999999998"/>
    <n v="91.539999999999992"/>
    <x v="2"/>
    <s v="Dark"/>
    <x v="1"/>
  </r>
  <r>
    <s v="DAH-46595-917"/>
    <x v="508"/>
    <s v="27878-42224-QF"/>
    <s v="A-D-1"/>
    <n v="6"/>
    <x v="613"/>
    <s v="nrudlandij@blogs.com"/>
    <x v="1"/>
    <x v="2"/>
    <x v="2"/>
    <x v="0"/>
    <n v="9.9499999999999993"/>
    <n v="59.699999999999996"/>
    <x v="2"/>
    <s v="Dark"/>
    <x v="1"/>
  </r>
  <r>
    <s v="VEM-79839-466"/>
    <x v="509"/>
    <s v="32743-78448-KT"/>
    <s v="R-L-2.5"/>
    <n v="5"/>
    <x v="605"/>
    <s v="jmillettik@addtoany.com"/>
    <x v="0"/>
    <x v="0"/>
    <x v="1"/>
    <x v="2"/>
    <n v="27.484999999999996"/>
    <n v="137.42499999999998"/>
    <x v="0"/>
    <s v="Light"/>
    <x v="0"/>
  </r>
  <r>
    <s v="OWH-11126-533"/>
    <x v="131"/>
    <s v="25331-13794-SB"/>
    <s v="L-M-2.5"/>
    <n v="2"/>
    <x v="614"/>
    <s v="ftourryil@google.de"/>
    <x v="0"/>
    <x v="3"/>
    <x v="0"/>
    <x v="2"/>
    <n v="33.464999999999996"/>
    <n v="66.929999999999993"/>
    <x v="3"/>
    <s v="Medium"/>
    <x v="1"/>
  </r>
  <r>
    <s v="UMT-26130-151"/>
    <x v="510"/>
    <s v="55864-37682-GQ"/>
    <s v="L-M-0.2"/>
    <n v="3"/>
    <x v="615"/>
    <s v="cweatherallim@toplist.cz"/>
    <x v="0"/>
    <x v="3"/>
    <x v="0"/>
    <x v="3"/>
    <n v="4.3650000000000002"/>
    <n v="13.095000000000001"/>
    <x v="3"/>
    <s v="Medium"/>
    <x v="0"/>
  </r>
  <r>
    <s v="JKA-27899-806"/>
    <x v="511"/>
    <s v="97005-25609-CQ"/>
    <s v="R-L-1"/>
    <n v="5"/>
    <x v="616"/>
    <s v="gheindrickin@usda.gov"/>
    <x v="0"/>
    <x v="0"/>
    <x v="1"/>
    <x v="0"/>
    <n v="11.95"/>
    <n v="59.75"/>
    <x v="0"/>
    <s v="Light"/>
    <x v="1"/>
  </r>
  <r>
    <s v="ULU-07744-724"/>
    <x v="512"/>
    <s v="94058-95794-IJ"/>
    <s v="L-M-0.5"/>
    <n v="5"/>
    <x v="617"/>
    <s v="limasonio@discuz.net"/>
    <x v="0"/>
    <x v="3"/>
    <x v="0"/>
    <x v="1"/>
    <n v="8.73"/>
    <n v="43.650000000000006"/>
    <x v="3"/>
    <s v="Medium"/>
    <x v="0"/>
  </r>
  <r>
    <s v="NOM-56457-507"/>
    <x v="513"/>
    <s v="40214-03678-GU"/>
    <s v="E-M-1"/>
    <n v="6"/>
    <x v="618"/>
    <s v="hsaillip@odnoklassniki.ru"/>
    <x v="0"/>
    <x v="1"/>
    <x v="0"/>
    <x v="0"/>
    <n v="13.75"/>
    <n v="82.5"/>
    <x v="1"/>
    <s v="Medium"/>
    <x v="0"/>
  </r>
  <r>
    <s v="NZN-71683-705"/>
    <x v="514"/>
    <s v="04921-85445-SL"/>
    <s v="A-L-2.5"/>
    <n v="6"/>
    <x v="619"/>
    <s v="hlarvoriq@last.fm"/>
    <x v="0"/>
    <x v="2"/>
    <x v="1"/>
    <x v="2"/>
    <n v="29.784999999999997"/>
    <n v="178.70999999999998"/>
    <x v="2"/>
    <s v="Light"/>
    <x v="0"/>
  </r>
  <r>
    <s v="WMA-34232-850"/>
    <x v="7"/>
    <s v="53386-94266-LJ"/>
    <s v="L-D-2.5"/>
    <n v="4"/>
    <x v="620"/>
    <s v=""/>
    <x v="0"/>
    <x v="3"/>
    <x v="2"/>
    <x v="2"/>
    <n v="29.784999999999997"/>
    <n v="119.13999999999999"/>
    <x v="3"/>
    <s v="Dark"/>
    <x v="0"/>
  </r>
  <r>
    <s v="EZL-27919-704"/>
    <x v="481"/>
    <s v="49480-85909-DG"/>
    <s v="L-L-0.5"/>
    <n v="5"/>
    <x v="621"/>
    <s v=""/>
    <x v="0"/>
    <x v="3"/>
    <x v="1"/>
    <x v="1"/>
    <n v="9.51"/>
    <n v="47.55"/>
    <x v="3"/>
    <s v="Light"/>
    <x v="1"/>
  </r>
  <r>
    <s v="ZYU-11345-774"/>
    <x v="515"/>
    <s v="18293-78136-MN"/>
    <s v="L-M-0.5"/>
    <n v="5"/>
    <x v="622"/>
    <s v="cpenwardenit@mlb.com"/>
    <x v="1"/>
    <x v="3"/>
    <x v="0"/>
    <x v="1"/>
    <n v="8.73"/>
    <n v="43.650000000000006"/>
    <x v="3"/>
    <s v="Medium"/>
    <x v="1"/>
  </r>
  <r>
    <s v="CPW-34587-459"/>
    <x v="516"/>
    <s v="84641-67384-TD"/>
    <s v="A-L-2.5"/>
    <n v="6"/>
    <x v="623"/>
    <s v="mmiddisiu@dmoz.org"/>
    <x v="0"/>
    <x v="2"/>
    <x v="1"/>
    <x v="2"/>
    <n v="29.784999999999997"/>
    <n v="178.70999999999998"/>
    <x v="2"/>
    <s v="Light"/>
    <x v="0"/>
  </r>
  <r>
    <s v="NQZ-82067-394"/>
    <x v="517"/>
    <s v="72320-29738-EB"/>
    <s v="R-L-2.5"/>
    <n v="1"/>
    <x v="624"/>
    <s v="avairowiv@studiopress.com"/>
    <x v="2"/>
    <x v="0"/>
    <x v="1"/>
    <x v="2"/>
    <n v="27.484999999999996"/>
    <n v="27.484999999999996"/>
    <x v="0"/>
    <s v="Light"/>
    <x v="1"/>
  </r>
  <r>
    <s v="JBW-95055-851"/>
    <x v="518"/>
    <s v="47355-97488-XS"/>
    <s v="A-M-1"/>
    <n v="5"/>
    <x v="625"/>
    <s v="agoldieiw@goo.gl"/>
    <x v="0"/>
    <x v="2"/>
    <x v="0"/>
    <x v="0"/>
    <n v="11.25"/>
    <n v="56.25"/>
    <x v="2"/>
    <s v="Medium"/>
    <x v="1"/>
  </r>
  <r>
    <s v="AHY-20324-088"/>
    <x v="519"/>
    <s v="63499-24884-PP"/>
    <s v="L-L-0.2"/>
    <n v="2"/>
    <x v="626"/>
    <s v="nayrisix@t-online.de"/>
    <x v="2"/>
    <x v="3"/>
    <x v="1"/>
    <x v="3"/>
    <n v="4.7549999999999999"/>
    <n v="9.51"/>
    <x v="3"/>
    <s v="Light"/>
    <x v="0"/>
  </r>
  <r>
    <s v="ZSL-66684-103"/>
    <x v="520"/>
    <s v="39193-51770-FM"/>
    <s v="E-M-0.2"/>
    <n v="2"/>
    <x v="627"/>
    <s v="lbenediktovichiy@wunderground.com"/>
    <x v="0"/>
    <x v="1"/>
    <x v="0"/>
    <x v="3"/>
    <n v="4.125"/>
    <n v="8.25"/>
    <x v="1"/>
    <s v="Medium"/>
    <x v="0"/>
  </r>
  <r>
    <s v="WNE-73911-475"/>
    <x v="521"/>
    <s v="61323-91967-GG"/>
    <s v="L-D-0.5"/>
    <n v="6"/>
    <x v="628"/>
    <s v="tjacobovitziz@cbc.ca"/>
    <x v="0"/>
    <x v="3"/>
    <x v="2"/>
    <x v="1"/>
    <n v="7.77"/>
    <n v="46.62"/>
    <x v="3"/>
    <s v="Dark"/>
    <x v="1"/>
  </r>
  <r>
    <s v="EZB-68383-559"/>
    <x v="418"/>
    <s v="90123-01967-KS"/>
    <s v="R-L-1"/>
    <n v="6"/>
    <x v="629"/>
    <s v=""/>
    <x v="0"/>
    <x v="0"/>
    <x v="1"/>
    <x v="0"/>
    <n v="11.95"/>
    <n v="71.699999999999989"/>
    <x v="0"/>
    <s v="Light"/>
    <x v="1"/>
  </r>
  <r>
    <s v="OVO-01283-090"/>
    <x v="122"/>
    <s v="15958-25089-OS"/>
    <s v="L-L-2.5"/>
    <n v="2"/>
    <x v="630"/>
    <s v="jdruittj1@feedburner.com"/>
    <x v="0"/>
    <x v="3"/>
    <x v="1"/>
    <x v="2"/>
    <n v="36.454999999999998"/>
    <n v="72.91"/>
    <x v="3"/>
    <s v="Light"/>
    <x v="0"/>
  </r>
  <r>
    <s v="TXH-78646-919"/>
    <x v="423"/>
    <s v="98430-37820-UV"/>
    <s v="R-D-0.2"/>
    <n v="3"/>
    <x v="631"/>
    <s v="dshortallj2@wikipedia.org"/>
    <x v="0"/>
    <x v="0"/>
    <x v="2"/>
    <x v="3"/>
    <n v="2.6849999999999996"/>
    <n v="8.0549999999999997"/>
    <x v="0"/>
    <s v="Dark"/>
    <x v="0"/>
  </r>
  <r>
    <s v="CYZ-37122-164"/>
    <x v="463"/>
    <s v="21798-04171-XC"/>
    <s v="E-M-0.5"/>
    <n v="2"/>
    <x v="632"/>
    <s v="wcottierj3@cafepress.com"/>
    <x v="0"/>
    <x v="1"/>
    <x v="0"/>
    <x v="1"/>
    <n v="8.25"/>
    <n v="16.5"/>
    <x v="1"/>
    <s v="Medium"/>
    <x v="1"/>
  </r>
  <r>
    <s v="AGQ-06534-750"/>
    <x v="273"/>
    <s v="52798-46508-HP"/>
    <s v="A-L-1"/>
    <n v="5"/>
    <x v="633"/>
    <s v="kgrinstedj4@google.com.br"/>
    <x v="1"/>
    <x v="2"/>
    <x v="1"/>
    <x v="0"/>
    <n v="12.95"/>
    <n v="64.75"/>
    <x v="2"/>
    <s v="Light"/>
    <x v="1"/>
  </r>
  <r>
    <s v="QVL-32245-818"/>
    <x v="522"/>
    <s v="46478-42970-EM"/>
    <s v="A-M-0.5"/>
    <n v="5"/>
    <x v="634"/>
    <s v="dskynerj5@hubpages.com"/>
    <x v="0"/>
    <x v="2"/>
    <x v="0"/>
    <x v="1"/>
    <n v="6.75"/>
    <n v="33.75"/>
    <x v="2"/>
    <s v="Medium"/>
    <x v="1"/>
  </r>
  <r>
    <s v="LTD-96842-834"/>
    <x v="523"/>
    <s v="00246-15080-LE"/>
    <s v="L-D-2.5"/>
    <n v="6"/>
    <x v="635"/>
    <s v=""/>
    <x v="0"/>
    <x v="3"/>
    <x v="2"/>
    <x v="2"/>
    <n v="29.784999999999997"/>
    <n v="178.70999999999998"/>
    <x v="3"/>
    <s v="Dark"/>
    <x v="1"/>
  </r>
  <r>
    <s v="SEC-91807-425"/>
    <x v="260"/>
    <s v="94091-86957-HX"/>
    <s v="A-M-1"/>
    <n v="2"/>
    <x v="636"/>
    <s v="jdymokeje@prnewswire.com"/>
    <x v="1"/>
    <x v="2"/>
    <x v="0"/>
    <x v="0"/>
    <n v="11.25"/>
    <n v="22.5"/>
    <x v="2"/>
    <s v="Medium"/>
    <x v="1"/>
  </r>
  <r>
    <s v="MHM-44857-599"/>
    <x v="331"/>
    <s v="26295-44907-DK"/>
    <s v="L-D-1"/>
    <n v="1"/>
    <x v="637"/>
    <s v="aweinmannj8@shinystat.com"/>
    <x v="0"/>
    <x v="3"/>
    <x v="2"/>
    <x v="0"/>
    <n v="12.95"/>
    <n v="12.95"/>
    <x v="3"/>
    <s v="Dark"/>
    <x v="1"/>
  </r>
  <r>
    <s v="KGC-95046-911"/>
    <x v="524"/>
    <s v="95351-96177-QV"/>
    <s v="A-M-2.5"/>
    <n v="2"/>
    <x v="638"/>
    <s v="eandriessenj9@europa.eu"/>
    <x v="0"/>
    <x v="2"/>
    <x v="0"/>
    <x v="2"/>
    <n v="25.874999999999996"/>
    <n v="51.749999999999993"/>
    <x v="2"/>
    <s v="Medium"/>
    <x v="0"/>
  </r>
  <r>
    <s v="RZC-75150-413"/>
    <x v="525"/>
    <s v="92204-96636-BS"/>
    <s v="E-D-0.5"/>
    <n v="5"/>
    <x v="639"/>
    <s v="rdeaconsonja@archive.org"/>
    <x v="0"/>
    <x v="1"/>
    <x v="2"/>
    <x v="1"/>
    <n v="7.29"/>
    <n v="36.450000000000003"/>
    <x v="1"/>
    <s v="Dark"/>
    <x v="1"/>
  </r>
  <r>
    <s v="EYH-88288-452"/>
    <x v="526"/>
    <s v="03010-30348-UA"/>
    <s v="L-L-2.5"/>
    <n v="5"/>
    <x v="640"/>
    <s v="dcarojb@twitter.com"/>
    <x v="0"/>
    <x v="3"/>
    <x v="1"/>
    <x v="2"/>
    <n v="36.454999999999998"/>
    <n v="182.27499999999998"/>
    <x v="3"/>
    <s v="Light"/>
    <x v="0"/>
  </r>
  <r>
    <s v="NYQ-24237-772"/>
    <x v="104"/>
    <s v="13441-34686-SW"/>
    <s v="L-D-0.5"/>
    <n v="4"/>
    <x v="641"/>
    <s v="jbluckjc@imageshack.us"/>
    <x v="0"/>
    <x v="3"/>
    <x v="2"/>
    <x v="1"/>
    <n v="7.77"/>
    <n v="31.08"/>
    <x v="3"/>
    <s v="Dark"/>
    <x v="1"/>
  </r>
  <r>
    <s v="WKB-21680-566"/>
    <x v="491"/>
    <s v="96612-41722-VJ"/>
    <s v="A-M-0.5"/>
    <n v="3"/>
    <x v="642"/>
    <s v=""/>
    <x v="1"/>
    <x v="2"/>
    <x v="0"/>
    <x v="1"/>
    <n v="6.75"/>
    <n v="20.25"/>
    <x v="2"/>
    <s v="Medium"/>
    <x v="1"/>
  </r>
  <r>
    <s v="THE-61147-027"/>
    <x v="157"/>
    <s v="94091-86957-HX"/>
    <s v="L-D-1"/>
    <n v="2"/>
    <x v="636"/>
    <s v="jdymokeje@prnewswire.com"/>
    <x v="1"/>
    <x v="3"/>
    <x v="2"/>
    <x v="0"/>
    <n v="12.95"/>
    <n v="25.9"/>
    <x v="3"/>
    <s v="Dark"/>
    <x v="1"/>
  </r>
  <r>
    <s v="PTY-86420-119"/>
    <x v="527"/>
    <s v="25504-41681-WA"/>
    <s v="A-D-0.5"/>
    <n v="4"/>
    <x v="643"/>
    <s v="otadmanjf@ft.com"/>
    <x v="0"/>
    <x v="2"/>
    <x v="2"/>
    <x v="1"/>
    <n v="5.97"/>
    <n v="23.88"/>
    <x v="2"/>
    <s v="Dark"/>
    <x v="0"/>
  </r>
  <r>
    <s v="QHL-27188-431"/>
    <x v="528"/>
    <s v="75443-07820-DZ"/>
    <s v="L-L-0.5"/>
    <n v="2"/>
    <x v="644"/>
    <s v="bguddejg@dailymotion.com"/>
    <x v="0"/>
    <x v="3"/>
    <x v="1"/>
    <x v="1"/>
    <n v="9.51"/>
    <n v="19.02"/>
    <x v="3"/>
    <s v="Light"/>
    <x v="1"/>
  </r>
  <r>
    <s v="MIS-54381-047"/>
    <x v="99"/>
    <s v="39276-95489-XV"/>
    <s v="A-D-0.5"/>
    <n v="5"/>
    <x v="645"/>
    <s v="nsictornesjh@buzzfeed.com"/>
    <x v="1"/>
    <x v="2"/>
    <x v="2"/>
    <x v="1"/>
    <n v="5.97"/>
    <n v="29.849999999999998"/>
    <x v="2"/>
    <s v="Dark"/>
    <x v="0"/>
  </r>
  <r>
    <s v="TBB-29780-459"/>
    <x v="529"/>
    <s v="61437-83623-PZ"/>
    <s v="A-L-0.5"/>
    <n v="1"/>
    <x v="646"/>
    <s v="vdunningji@independent.co.uk"/>
    <x v="0"/>
    <x v="2"/>
    <x v="1"/>
    <x v="1"/>
    <n v="7.77"/>
    <n v="7.77"/>
    <x v="2"/>
    <s v="Light"/>
    <x v="0"/>
  </r>
  <r>
    <s v="QLC-52637-305"/>
    <x v="530"/>
    <s v="34317-87258-HQ"/>
    <s v="L-D-2.5"/>
    <n v="4"/>
    <x v="647"/>
    <s v=""/>
    <x v="1"/>
    <x v="3"/>
    <x v="2"/>
    <x v="2"/>
    <n v="29.784999999999997"/>
    <n v="119.13999999999999"/>
    <x v="3"/>
    <s v="Dark"/>
    <x v="0"/>
  </r>
  <r>
    <s v="CWT-27056-328"/>
    <x v="531"/>
    <s v="18570-80998-ZS"/>
    <s v="E-D-0.2"/>
    <n v="6"/>
    <x v="648"/>
    <s v=""/>
    <x v="0"/>
    <x v="1"/>
    <x v="2"/>
    <x v="3"/>
    <n v="3.645"/>
    <n v="21.87"/>
    <x v="1"/>
    <s v="Dark"/>
    <x v="0"/>
  </r>
  <r>
    <s v="ASS-05878-128"/>
    <x v="210"/>
    <s v="66580-33745-OQ"/>
    <s v="E-L-0.5"/>
    <n v="2"/>
    <x v="649"/>
    <s v="sgehringjl@gnu.org"/>
    <x v="0"/>
    <x v="1"/>
    <x v="1"/>
    <x v="1"/>
    <n v="8.91"/>
    <n v="17.82"/>
    <x v="1"/>
    <s v="Light"/>
    <x v="1"/>
  </r>
  <r>
    <s v="EGK-03027-418"/>
    <x v="532"/>
    <s v="19820-29285-FD"/>
    <s v="E-M-0.2"/>
    <n v="3"/>
    <x v="650"/>
    <s v="bfallowesjm@purevolume.com"/>
    <x v="0"/>
    <x v="1"/>
    <x v="0"/>
    <x v="3"/>
    <n v="4.125"/>
    <n v="12.375"/>
    <x v="1"/>
    <s v="Medium"/>
    <x v="1"/>
  </r>
  <r>
    <s v="KCY-61732-849"/>
    <x v="533"/>
    <s v="11349-55147-SN"/>
    <s v="L-D-1"/>
    <n v="2"/>
    <x v="651"/>
    <s v=""/>
    <x v="1"/>
    <x v="3"/>
    <x v="2"/>
    <x v="0"/>
    <n v="12.95"/>
    <n v="25.9"/>
    <x v="3"/>
    <s v="Dark"/>
    <x v="1"/>
  </r>
  <r>
    <s v="BLI-21697-702"/>
    <x v="534"/>
    <s v="21141-12455-VB"/>
    <s v="A-M-0.5"/>
    <n v="2"/>
    <x v="652"/>
    <s v="sdejo@newsvine.com"/>
    <x v="0"/>
    <x v="2"/>
    <x v="0"/>
    <x v="1"/>
    <n v="6.75"/>
    <n v="13.5"/>
    <x v="2"/>
    <s v="Medium"/>
    <x v="0"/>
  </r>
  <r>
    <s v="KFJ-46568-890"/>
    <x v="535"/>
    <s v="71003-85639-HB"/>
    <s v="E-L-0.5"/>
    <n v="2"/>
    <x v="653"/>
    <s v=""/>
    <x v="0"/>
    <x v="1"/>
    <x v="1"/>
    <x v="1"/>
    <n v="8.91"/>
    <n v="17.82"/>
    <x v="1"/>
    <s v="Light"/>
    <x v="0"/>
  </r>
  <r>
    <s v="SOK-43535-680"/>
    <x v="536"/>
    <s v="58443-95866-YO"/>
    <s v="E-M-0.5"/>
    <n v="3"/>
    <x v="654"/>
    <s v="scountjq@nba.com"/>
    <x v="0"/>
    <x v="1"/>
    <x v="0"/>
    <x v="1"/>
    <n v="8.25"/>
    <n v="24.75"/>
    <x v="1"/>
    <s v="Medium"/>
    <x v="1"/>
  </r>
  <r>
    <s v="XUE-87260-201"/>
    <x v="537"/>
    <s v="89646-21249-OH"/>
    <s v="R-M-0.2"/>
    <n v="6"/>
    <x v="655"/>
    <s v="sraglesjr@blogtalkradio.com"/>
    <x v="0"/>
    <x v="0"/>
    <x v="0"/>
    <x v="3"/>
    <n v="2.9849999999999999"/>
    <n v="17.91"/>
    <x v="0"/>
    <s v="Medium"/>
    <x v="1"/>
  </r>
  <r>
    <s v="CZF-40873-691"/>
    <x v="61"/>
    <s v="64988-20636-XQ"/>
    <s v="E-M-0.5"/>
    <n v="2"/>
    <x v="656"/>
    <s v=""/>
    <x v="2"/>
    <x v="1"/>
    <x v="0"/>
    <x v="1"/>
    <n v="8.25"/>
    <n v="16.5"/>
    <x v="1"/>
    <s v="Medium"/>
    <x v="1"/>
  </r>
  <r>
    <s v="AIA-98989-755"/>
    <x v="242"/>
    <s v="34704-83143-KS"/>
    <s v="R-M-0.2"/>
    <n v="1"/>
    <x v="657"/>
    <s v="sbruunjt@blogtalkradio.com"/>
    <x v="0"/>
    <x v="0"/>
    <x v="0"/>
    <x v="3"/>
    <n v="2.9849999999999999"/>
    <n v="2.9849999999999999"/>
    <x v="0"/>
    <s v="Medium"/>
    <x v="1"/>
  </r>
  <r>
    <s v="ITZ-21793-986"/>
    <x v="299"/>
    <s v="67388-17544-XX"/>
    <s v="E-D-0.2"/>
    <n v="4"/>
    <x v="658"/>
    <s v="aplluju@dagondesign.com"/>
    <x v="1"/>
    <x v="1"/>
    <x v="2"/>
    <x v="3"/>
    <n v="3.645"/>
    <n v="14.58"/>
    <x v="1"/>
    <s v="Dark"/>
    <x v="0"/>
  </r>
  <r>
    <s v="YOK-93322-608"/>
    <x v="343"/>
    <s v="69411-48470-ID"/>
    <s v="E-L-1"/>
    <n v="6"/>
    <x v="659"/>
    <s v="gcornierjv@techcrunch.com"/>
    <x v="0"/>
    <x v="1"/>
    <x v="1"/>
    <x v="0"/>
    <n v="14.85"/>
    <n v="89.1"/>
    <x v="1"/>
    <s v="Light"/>
    <x v="1"/>
  </r>
  <r>
    <s v="LXK-00634-611"/>
    <x v="538"/>
    <s v="94091-86957-HX"/>
    <s v="R-L-1"/>
    <n v="3"/>
    <x v="636"/>
    <s v="jdymokeje@prnewswire.com"/>
    <x v="1"/>
    <x v="0"/>
    <x v="1"/>
    <x v="0"/>
    <n v="11.95"/>
    <n v="35.849999999999994"/>
    <x v="0"/>
    <s v="Light"/>
    <x v="1"/>
  </r>
  <r>
    <s v="CQW-37388-302"/>
    <x v="539"/>
    <s v="97741-98924-KT"/>
    <s v="A-D-2.5"/>
    <n v="3"/>
    <x v="660"/>
    <s v="wharvisonjx@gizmodo.com"/>
    <x v="0"/>
    <x v="2"/>
    <x v="2"/>
    <x v="2"/>
    <n v="22.884999999999998"/>
    <n v="68.655000000000001"/>
    <x v="2"/>
    <s v="Dark"/>
    <x v="1"/>
  </r>
  <r>
    <s v="SPA-79365-334"/>
    <x v="27"/>
    <s v="79857-78167-KO"/>
    <s v="L-D-1"/>
    <n v="3"/>
    <x v="661"/>
    <s v="dheafordjy@twitpic.com"/>
    <x v="0"/>
    <x v="3"/>
    <x v="2"/>
    <x v="0"/>
    <n v="12.95"/>
    <n v="38.849999999999994"/>
    <x v="3"/>
    <s v="Dark"/>
    <x v="1"/>
  </r>
  <r>
    <s v="VPX-08817-517"/>
    <x v="540"/>
    <s v="46963-10322-ZA"/>
    <s v="L-L-1"/>
    <n v="5"/>
    <x v="662"/>
    <s v="gfanthamjz@hexun.com"/>
    <x v="0"/>
    <x v="3"/>
    <x v="1"/>
    <x v="0"/>
    <n v="15.85"/>
    <n v="79.25"/>
    <x v="3"/>
    <s v="Light"/>
    <x v="0"/>
  </r>
  <r>
    <s v="PBP-87115-410"/>
    <x v="541"/>
    <s v="93812-74772-MV"/>
    <s v="E-D-0.5"/>
    <n v="5"/>
    <x v="663"/>
    <s v="rcrookshanksk0@unc.edu"/>
    <x v="0"/>
    <x v="1"/>
    <x v="2"/>
    <x v="1"/>
    <n v="7.29"/>
    <n v="36.450000000000003"/>
    <x v="1"/>
    <s v="Dark"/>
    <x v="0"/>
  </r>
  <r>
    <s v="SFB-93752-440"/>
    <x v="390"/>
    <s v="48203-23480-UB"/>
    <s v="R-M-0.2"/>
    <n v="3"/>
    <x v="664"/>
    <s v="nleakek1@cmu.edu"/>
    <x v="0"/>
    <x v="0"/>
    <x v="0"/>
    <x v="3"/>
    <n v="2.9849999999999999"/>
    <n v="8.9550000000000001"/>
    <x v="0"/>
    <s v="Medium"/>
    <x v="0"/>
  </r>
  <r>
    <s v="TBU-65158-068"/>
    <x v="396"/>
    <s v="60357-65386-RD"/>
    <s v="E-D-1"/>
    <n v="2"/>
    <x v="665"/>
    <s v=""/>
    <x v="0"/>
    <x v="1"/>
    <x v="2"/>
    <x v="0"/>
    <n v="12.15"/>
    <n v="24.3"/>
    <x v="1"/>
    <s v="Dark"/>
    <x v="1"/>
  </r>
  <r>
    <s v="TEH-08414-216"/>
    <x v="185"/>
    <s v="35099-13971-JI"/>
    <s v="E-M-2.5"/>
    <n v="2"/>
    <x v="666"/>
    <s v="geilhersenk3@networksolutions.com"/>
    <x v="0"/>
    <x v="1"/>
    <x v="0"/>
    <x v="2"/>
    <n v="31.624999999999996"/>
    <n v="63.249999999999993"/>
    <x v="1"/>
    <s v="Medium"/>
    <x v="1"/>
  </r>
  <r>
    <s v="MAY-77231-536"/>
    <x v="542"/>
    <s v="01304-59807-OB"/>
    <s v="A-M-0.2"/>
    <n v="2"/>
    <x v="667"/>
    <s v=""/>
    <x v="0"/>
    <x v="2"/>
    <x v="0"/>
    <x v="3"/>
    <n v="3.375"/>
    <n v="6.75"/>
    <x v="2"/>
    <s v="Medium"/>
    <x v="0"/>
  </r>
  <r>
    <s v="ATY-28980-884"/>
    <x v="117"/>
    <s v="50705-17295-NK"/>
    <s v="A-L-0.2"/>
    <n v="6"/>
    <x v="668"/>
    <s v="caleixok5@globo.com"/>
    <x v="0"/>
    <x v="2"/>
    <x v="1"/>
    <x v="3"/>
    <n v="3.8849999999999998"/>
    <n v="23.31"/>
    <x v="2"/>
    <s v="Light"/>
    <x v="1"/>
  </r>
  <r>
    <s v="SWP-88281-918"/>
    <x v="543"/>
    <s v="77657-61366-FY"/>
    <s v="L-L-2.5"/>
    <n v="4"/>
    <x v="669"/>
    <s v=""/>
    <x v="0"/>
    <x v="3"/>
    <x v="1"/>
    <x v="2"/>
    <n v="36.454999999999998"/>
    <n v="145.82"/>
    <x v="3"/>
    <s v="Light"/>
    <x v="1"/>
  </r>
  <r>
    <s v="VCE-56531-986"/>
    <x v="544"/>
    <s v="57192-13428-PL"/>
    <s v="R-M-0.5"/>
    <n v="5"/>
    <x v="670"/>
    <s v="rtomkowiczk7@bravesites.com"/>
    <x v="1"/>
    <x v="0"/>
    <x v="0"/>
    <x v="1"/>
    <n v="5.97"/>
    <n v="29.849999999999998"/>
    <x v="0"/>
    <s v="Medium"/>
    <x v="0"/>
  </r>
  <r>
    <s v="FVV-75700-005"/>
    <x v="545"/>
    <s v="24891-77957-LU"/>
    <s v="E-D-0.5"/>
    <n v="3"/>
    <x v="671"/>
    <s v="rhuscroftk8@jimdo.com"/>
    <x v="0"/>
    <x v="1"/>
    <x v="2"/>
    <x v="1"/>
    <n v="7.29"/>
    <n v="21.87"/>
    <x v="1"/>
    <s v="Dark"/>
    <x v="0"/>
  </r>
  <r>
    <s v="CFZ-53492-600"/>
    <x v="546"/>
    <s v="64896-18468-BT"/>
    <s v="L-M-0.2"/>
    <n v="1"/>
    <x v="672"/>
    <s v="sscurrerk9@flavors.me"/>
    <x v="2"/>
    <x v="3"/>
    <x v="0"/>
    <x v="3"/>
    <n v="4.3650000000000002"/>
    <n v="4.3650000000000002"/>
    <x v="3"/>
    <s v="Medium"/>
    <x v="1"/>
  </r>
  <r>
    <s v="LDK-71031-121"/>
    <x v="420"/>
    <s v="84761-40784-SV"/>
    <s v="L-L-2.5"/>
    <n v="1"/>
    <x v="673"/>
    <s v="arudramka@prnewswire.com"/>
    <x v="0"/>
    <x v="3"/>
    <x v="1"/>
    <x v="2"/>
    <n v="36.454999999999998"/>
    <n v="36.454999999999998"/>
    <x v="3"/>
    <s v="Light"/>
    <x v="1"/>
  </r>
  <r>
    <s v="EBA-82404-343"/>
    <x v="547"/>
    <s v="20236-42322-CM"/>
    <s v="L-D-0.2"/>
    <n v="4"/>
    <x v="674"/>
    <s v=""/>
    <x v="0"/>
    <x v="3"/>
    <x v="2"/>
    <x v="3"/>
    <n v="3.8849999999999998"/>
    <n v="15.54"/>
    <x v="3"/>
    <s v="Dark"/>
    <x v="0"/>
  </r>
  <r>
    <s v="USA-42811-560"/>
    <x v="548"/>
    <s v="49671-11547-WG"/>
    <s v="E-L-0.2"/>
    <n v="2"/>
    <x v="675"/>
    <s v="jmahakc@cyberchimps.com"/>
    <x v="0"/>
    <x v="1"/>
    <x v="1"/>
    <x v="3"/>
    <n v="4.4550000000000001"/>
    <n v="8.91"/>
    <x v="1"/>
    <s v="Light"/>
    <x v="1"/>
  </r>
  <r>
    <s v="SNL-83703-516"/>
    <x v="549"/>
    <s v="57976-33535-WK"/>
    <s v="L-M-2.5"/>
    <n v="3"/>
    <x v="676"/>
    <s v="gclemonkd@networksolutions.com"/>
    <x v="0"/>
    <x v="3"/>
    <x v="0"/>
    <x v="2"/>
    <n v="33.464999999999996"/>
    <n v="100.39499999999998"/>
    <x v="3"/>
    <s v="Medium"/>
    <x v="0"/>
  </r>
  <r>
    <s v="SUZ-83036-175"/>
    <x v="550"/>
    <s v="55915-19477-MK"/>
    <s v="R-D-0.2"/>
    <n v="5"/>
    <x v="677"/>
    <s v=""/>
    <x v="0"/>
    <x v="0"/>
    <x v="2"/>
    <x v="3"/>
    <n v="2.6849999999999996"/>
    <n v="13.424999999999997"/>
    <x v="0"/>
    <s v="Dark"/>
    <x v="1"/>
  </r>
  <r>
    <s v="RGM-01187-513"/>
    <x v="551"/>
    <s v="28121-11641-UA"/>
    <s v="E-D-0.2"/>
    <n v="6"/>
    <x v="678"/>
    <s v="bpollinskf@shinystat.com"/>
    <x v="0"/>
    <x v="1"/>
    <x v="2"/>
    <x v="3"/>
    <n v="3.645"/>
    <n v="21.87"/>
    <x v="1"/>
    <s v="Dark"/>
    <x v="1"/>
  </r>
  <r>
    <s v="CZG-01299-952"/>
    <x v="552"/>
    <s v="09540-70637-EV"/>
    <s v="L-D-1"/>
    <n v="2"/>
    <x v="679"/>
    <s v="jtoyekg@pinterest.com"/>
    <x v="1"/>
    <x v="3"/>
    <x v="2"/>
    <x v="0"/>
    <n v="12.95"/>
    <n v="25.9"/>
    <x v="3"/>
    <s v="Dark"/>
    <x v="0"/>
  </r>
  <r>
    <s v="KLD-88731-484"/>
    <x v="553"/>
    <s v="17775-77072-PP"/>
    <s v="A-M-1"/>
    <n v="5"/>
    <x v="680"/>
    <s v="clinskillkh@sphinn.com"/>
    <x v="0"/>
    <x v="2"/>
    <x v="0"/>
    <x v="0"/>
    <n v="11.25"/>
    <n v="56.25"/>
    <x v="2"/>
    <s v="Medium"/>
    <x v="1"/>
  </r>
  <r>
    <s v="BQK-38412-229"/>
    <x v="554"/>
    <s v="90392-73338-BC"/>
    <s v="R-L-0.2"/>
    <n v="3"/>
    <x v="681"/>
    <s v="nvigrasski@ezinearticles.com"/>
    <x v="2"/>
    <x v="0"/>
    <x v="1"/>
    <x v="3"/>
    <n v="3.5849999999999995"/>
    <n v="10.754999999999999"/>
    <x v="0"/>
    <s v="Light"/>
    <x v="1"/>
  </r>
  <r>
    <s v="TCX-76953-071"/>
    <x v="555"/>
    <s v="94091-86957-HX"/>
    <s v="E-D-0.2"/>
    <n v="5"/>
    <x v="636"/>
    <s v="jdymokeje@prnewswire.com"/>
    <x v="1"/>
    <x v="1"/>
    <x v="2"/>
    <x v="3"/>
    <n v="3.645"/>
    <n v="18.225000000000001"/>
    <x v="1"/>
    <s v="Dark"/>
    <x v="1"/>
  </r>
  <r>
    <s v="LIN-88046-551"/>
    <x v="150"/>
    <s v="10725-45724-CO"/>
    <s v="R-L-0.5"/>
    <n v="4"/>
    <x v="682"/>
    <s v="kcragellkk@google.com"/>
    <x v="1"/>
    <x v="0"/>
    <x v="1"/>
    <x v="1"/>
    <n v="7.169999999999999"/>
    <n v="28.679999999999996"/>
    <x v="0"/>
    <s v="Light"/>
    <x v="1"/>
  </r>
  <r>
    <s v="PMV-54491-220"/>
    <x v="556"/>
    <s v="87242-18006-IR"/>
    <s v="L-M-0.2"/>
    <n v="2"/>
    <x v="683"/>
    <s v="libertkl@huffingtonpost.com"/>
    <x v="0"/>
    <x v="3"/>
    <x v="0"/>
    <x v="3"/>
    <n v="4.3650000000000002"/>
    <n v="8.73"/>
    <x v="3"/>
    <s v="Medium"/>
    <x v="1"/>
  </r>
  <r>
    <s v="SKA-73676-005"/>
    <x v="327"/>
    <s v="36572-91896-PP"/>
    <s v="L-M-1"/>
    <n v="4"/>
    <x v="684"/>
    <s v="rlidgeykm@vimeo.com"/>
    <x v="0"/>
    <x v="3"/>
    <x v="0"/>
    <x v="0"/>
    <n v="14.55"/>
    <n v="58.2"/>
    <x v="3"/>
    <s v="Medium"/>
    <x v="1"/>
  </r>
  <r>
    <s v="TKH-62197-239"/>
    <x v="557"/>
    <s v="25181-97933-UX"/>
    <s v="A-D-0.5"/>
    <n v="3"/>
    <x v="685"/>
    <s v="tcastagnekn@wikia.com"/>
    <x v="0"/>
    <x v="2"/>
    <x v="2"/>
    <x v="1"/>
    <n v="5.97"/>
    <n v="17.91"/>
    <x v="2"/>
    <s v="Dark"/>
    <x v="1"/>
  </r>
  <r>
    <s v="YXF-57218-272"/>
    <x v="333"/>
    <s v="55374-03175-IA"/>
    <s v="R-M-0.2"/>
    <n v="6"/>
    <x v="686"/>
    <s v=""/>
    <x v="0"/>
    <x v="0"/>
    <x v="0"/>
    <x v="3"/>
    <n v="2.9849999999999999"/>
    <n v="17.91"/>
    <x v="0"/>
    <s v="Medium"/>
    <x v="0"/>
  </r>
  <r>
    <s v="PKJ-30083-501"/>
    <x v="558"/>
    <s v="76948-43532-JS"/>
    <s v="E-D-0.5"/>
    <n v="2"/>
    <x v="687"/>
    <s v="jhaldenkp@comcast.net"/>
    <x v="1"/>
    <x v="1"/>
    <x v="2"/>
    <x v="1"/>
    <n v="7.29"/>
    <n v="14.58"/>
    <x v="1"/>
    <s v="Dark"/>
    <x v="1"/>
  </r>
  <r>
    <s v="WTT-91832-645"/>
    <x v="559"/>
    <s v="24344-88599-PP"/>
    <s v="A-M-1"/>
    <n v="3"/>
    <x v="688"/>
    <s v="holliffkq@sciencedirect.com"/>
    <x v="1"/>
    <x v="2"/>
    <x v="0"/>
    <x v="0"/>
    <n v="11.25"/>
    <n v="33.75"/>
    <x v="2"/>
    <s v="Medium"/>
    <x v="1"/>
  </r>
  <r>
    <s v="TRZ-94735-865"/>
    <x v="310"/>
    <s v="54462-58311-YF"/>
    <s v="L-M-0.5"/>
    <n v="4"/>
    <x v="689"/>
    <s v="tquadrikr@opensource.org"/>
    <x v="1"/>
    <x v="3"/>
    <x v="0"/>
    <x v="1"/>
    <n v="8.73"/>
    <n v="34.92"/>
    <x v="3"/>
    <s v="Medium"/>
    <x v="0"/>
  </r>
  <r>
    <s v="UDB-09651-780"/>
    <x v="560"/>
    <s v="90767-92589-LV"/>
    <s v="E-D-0.5"/>
    <n v="2"/>
    <x v="690"/>
    <s v="feshmadeks@umn.edu"/>
    <x v="0"/>
    <x v="1"/>
    <x v="2"/>
    <x v="1"/>
    <n v="7.29"/>
    <n v="14.58"/>
    <x v="1"/>
    <s v="Dark"/>
    <x v="1"/>
  </r>
  <r>
    <s v="EHJ-82097-549"/>
    <x v="561"/>
    <s v="27517-43747-YD"/>
    <s v="R-D-0.2"/>
    <n v="2"/>
    <x v="691"/>
    <s v="moilierkt@paginegialle.it"/>
    <x v="1"/>
    <x v="0"/>
    <x v="2"/>
    <x v="3"/>
    <n v="2.6849999999999996"/>
    <n v="5.3699999999999992"/>
    <x v="0"/>
    <s v="Dark"/>
    <x v="0"/>
  </r>
  <r>
    <s v="ZFR-79447-696"/>
    <x v="562"/>
    <s v="77828-66867-KH"/>
    <s v="R-M-0.5"/>
    <n v="1"/>
    <x v="692"/>
    <s v=""/>
    <x v="0"/>
    <x v="0"/>
    <x v="0"/>
    <x v="1"/>
    <n v="5.97"/>
    <n v="5.97"/>
    <x v="0"/>
    <s v="Medium"/>
    <x v="0"/>
  </r>
  <r>
    <s v="NUU-03893-975"/>
    <x v="563"/>
    <s v="41054-59693-XE"/>
    <s v="L-L-0.5"/>
    <n v="2"/>
    <x v="693"/>
    <s v="vshoebothamkv@redcross.org"/>
    <x v="0"/>
    <x v="3"/>
    <x v="1"/>
    <x v="1"/>
    <n v="9.51"/>
    <n v="19.02"/>
    <x v="3"/>
    <s v="Light"/>
    <x v="1"/>
  </r>
  <r>
    <s v="GVG-59542-307"/>
    <x v="564"/>
    <s v="26314-66792-VP"/>
    <s v="E-M-1"/>
    <n v="2"/>
    <x v="694"/>
    <s v="bsterkekw@biblegateway.com"/>
    <x v="0"/>
    <x v="1"/>
    <x v="0"/>
    <x v="0"/>
    <n v="13.75"/>
    <n v="27.5"/>
    <x v="1"/>
    <s v="Medium"/>
    <x v="0"/>
  </r>
  <r>
    <s v="YLY-35287-172"/>
    <x v="565"/>
    <s v="69410-04668-MA"/>
    <s v="A-D-0.5"/>
    <n v="5"/>
    <x v="695"/>
    <s v="scaponkx@craigslist.org"/>
    <x v="0"/>
    <x v="2"/>
    <x v="2"/>
    <x v="1"/>
    <n v="5.97"/>
    <n v="29.849999999999998"/>
    <x v="2"/>
    <s v="Dark"/>
    <x v="1"/>
  </r>
  <r>
    <s v="DCI-96254-548"/>
    <x v="566"/>
    <s v="94091-86957-HX"/>
    <s v="A-D-0.2"/>
    <n v="6"/>
    <x v="636"/>
    <s v="jdymokeje@prnewswire.com"/>
    <x v="1"/>
    <x v="2"/>
    <x v="2"/>
    <x v="3"/>
    <n v="2.9849999999999999"/>
    <n v="17.91"/>
    <x v="2"/>
    <s v="Dark"/>
    <x v="1"/>
  </r>
  <r>
    <s v="KHZ-26264-253"/>
    <x v="160"/>
    <s v="24972-55878-KX"/>
    <s v="L-L-0.2"/>
    <n v="6"/>
    <x v="696"/>
    <s v="fconstancekz@ifeng.com"/>
    <x v="0"/>
    <x v="3"/>
    <x v="1"/>
    <x v="3"/>
    <n v="4.7549999999999999"/>
    <n v="28.53"/>
    <x v="3"/>
    <s v="Light"/>
    <x v="1"/>
  </r>
  <r>
    <s v="AAQ-13644-699"/>
    <x v="567"/>
    <s v="46296-42617-OQ"/>
    <s v="R-D-1"/>
    <n v="4"/>
    <x v="697"/>
    <s v="fsulmanl0@washington.edu"/>
    <x v="0"/>
    <x v="0"/>
    <x v="2"/>
    <x v="0"/>
    <n v="8.9499999999999993"/>
    <n v="35.799999999999997"/>
    <x v="0"/>
    <s v="Dark"/>
    <x v="0"/>
  </r>
  <r>
    <s v="LWL-68108-794"/>
    <x v="568"/>
    <s v="44494-89923-UW"/>
    <s v="A-D-0.5"/>
    <n v="3"/>
    <x v="698"/>
    <s v="dhollymanl1@ibm.com"/>
    <x v="0"/>
    <x v="2"/>
    <x v="2"/>
    <x v="1"/>
    <n v="5.97"/>
    <n v="17.91"/>
    <x v="2"/>
    <s v="Dark"/>
    <x v="0"/>
  </r>
  <r>
    <s v="JQT-14347-517"/>
    <x v="569"/>
    <s v="11621-09964-ID"/>
    <s v="R-D-1"/>
    <n v="1"/>
    <x v="699"/>
    <s v="lnardonil2@hao123.com"/>
    <x v="0"/>
    <x v="0"/>
    <x v="2"/>
    <x v="0"/>
    <n v="8.9499999999999993"/>
    <n v="8.9499999999999993"/>
    <x v="0"/>
    <s v="Dark"/>
    <x v="1"/>
  </r>
  <r>
    <s v="BMM-86471-923"/>
    <x v="570"/>
    <s v="76319-80715-II"/>
    <s v="L-D-2.5"/>
    <n v="1"/>
    <x v="700"/>
    <s v="dyarhaml3@moonfruit.com"/>
    <x v="0"/>
    <x v="3"/>
    <x v="2"/>
    <x v="2"/>
    <n v="29.784999999999997"/>
    <n v="29.784999999999997"/>
    <x v="3"/>
    <s v="Dark"/>
    <x v="0"/>
  </r>
  <r>
    <s v="IXU-67272-326"/>
    <x v="571"/>
    <s v="91654-79216-IC"/>
    <s v="E-L-0.5"/>
    <n v="5"/>
    <x v="701"/>
    <s v="aferreal4@wikia.com"/>
    <x v="0"/>
    <x v="1"/>
    <x v="1"/>
    <x v="1"/>
    <n v="8.91"/>
    <n v="44.55"/>
    <x v="1"/>
    <s v="Light"/>
    <x v="1"/>
  </r>
  <r>
    <s v="ITE-28312-615"/>
    <x v="139"/>
    <s v="56450-21890-HK"/>
    <s v="E-L-1"/>
    <n v="6"/>
    <x v="702"/>
    <s v="ckendrickl5@webnode.com"/>
    <x v="0"/>
    <x v="1"/>
    <x v="1"/>
    <x v="0"/>
    <n v="14.85"/>
    <n v="89.1"/>
    <x v="1"/>
    <s v="Light"/>
    <x v="0"/>
  </r>
  <r>
    <s v="ZHQ-30471-635"/>
    <x v="303"/>
    <s v="40600-58915-WZ"/>
    <s v="L-M-0.5"/>
    <n v="5"/>
    <x v="703"/>
    <s v="sdanilchikl6@mit.edu"/>
    <x v="2"/>
    <x v="3"/>
    <x v="0"/>
    <x v="1"/>
    <n v="8.73"/>
    <n v="43.650000000000006"/>
    <x v="3"/>
    <s v="Medium"/>
    <x v="1"/>
  </r>
  <r>
    <s v="LTP-31133-134"/>
    <x v="572"/>
    <s v="66527-94478-PB"/>
    <s v="A-L-0.5"/>
    <n v="3"/>
    <x v="704"/>
    <s v=""/>
    <x v="0"/>
    <x v="2"/>
    <x v="1"/>
    <x v="1"/>
    <n v="7.77"/>
    <n v="23.31"/>
    <x v="2"/>
    <s v="Light"/>
    <x v="1"/>
  </r>
  <r>
    <s v="ZVQ-26122-859"/>
    <x v="573"/>
    <s v="77154-45038-IH"/>
    <s v="A-L-2.5"/>
    <n v="6"/>
    <x v="705"/>
    <s v="bfolomkinl8@yolasite.com"/>
    <x v="0"/>
    <x v="2"/>
    <x v="1"/>
    <x v="2"/>
    <n v="29.784999999999997"/>
    <n v="178.70999999999998"/>
    <x v="2"/>
    <s v="Light"/>
    <x v="0"/>
  </r>
  <r>
    <s v="MIU-01481-194"/>
    <x v="574"/>
    <s v="08439-55669-AI"/>
    <s v="R-M-1"/>
    <n v="6"/>
    <x v="706"/>
    <s v="rpursglovel9@biblegateway.com"/>
    <x v="0"/>
    <x v="0"/>
    <x v="0"/>
    <x v="0"/>
    <n v="9.9499999999999993"/>
    <n v="59.699999999999996"/>
    <x v="0"/>
    <s v="Medium"/>
    <x v="0"/>
  </r>
  <r>
    <s v="MIU-01481-194"/>
    <x v="574"/>
    <s v="08439-55669-AI"/>
    <s v="A-L-0.5"/>
    <n v="2"/>
    <x v="706"/>
    <s v="rpursglovel9@biblegateway.com"/>
    <x v="0"/>
    <x v="2"/>
    <x v="1"/>
    <x v="1"/>
    <n v="7.77"/>
    <n v="15.54"/>
    <x v="2"/>
    <s v="Light"/>
    <x v="0"/>
  </r>
  <r>
    <s v="UEA-72681-629"/>
    <x v="455"/>
    <s v="24972-55878-KX"/>
    <s v="A-L-2.5"/>
    <n v="3"/>
    <x v="696"/>
    <s v="fconstancekz@ifeng.com"/>
    <x v="0"/>
    <x v="2"/>
    <x v="1"/>
    <x v="2"/>
    <n v="29.784999999999997"/>
    <n v="89.35499999999999"/>
    <x v="2"/>
    <s v="Light"/>
    <x v="1"/>
  </r>
  <r>
    <s v="CVE-15042-481"/>
    <x v="575"/>
    <s v="24972-55878-KX"/>
    <s v="R-L-1"/>
    <n v="2"/>
    <x v="696"/>
    <s v="fconstancekz@ifeng.com"/>
    <x v="0"/>
    <x v="0"/>
    <x v="1"/>
    <x v="0"/>
    <n v="11.95"/>
    <n v="23.9"/>
    <x v="0"/>
    <s v="Light"/>
    <x v="1"/>
  </r>
  <r>
    <s v="EJA-79176-833"/>
    <x v="576"/>
    <s v="91509-62250-GN"/>
    <s v="R-M-2.5"/>
    <n v="6"/>
    <x v="707"/>
    <s v="deburahld@google.co.jp"/>
    <x v="2"/>
    <x v="0"/>
    <x v="0"/>
    <x v="2"/>
    <n v="22.884999999999998"/>
    <n v="137.31"/>
    <x v="0"/>
    <s v="Medium"/>
    <x v="1"/>
  </r>
  <r>
    <s v="AHQ-40440-522"/>
    <x v="577"/>
    <s v="83833-46106-ZC"/>
    <s v="A-D-1"/>
    <n v="1"/>
    <x v="708"/>
    <s v="mbrimilcombele@cnn.com"/>
    <x v="0"/>
    <x v="2"/>
    <x v="2"/>
    <x v="0"/>
    <n v="9.9499999999999993"/>
    <n v="9.9499999999999993"/>
    <x v="2"/>
    <s v="Dark"/>
    <x v="1"/>
  </r>
  <r>
    <s v="TID-21626-411"/>
    <x v="578"/>
    <s v="19383-33606-PW"/>
    <s v="R-L-0.5"/>
    <n v="3"/>
    <x v="709"/>
    <s v="sbollamlf@list-manage.com"/>
    <x v="0"/>
    <x v="0"/>
    <x v="1"/>
    <x v="1"/>
    <n v="7.169999999999999"/>
    <n v="21.509999999999998"/>
    <x v="0"/>
    <s v="Light"/>
    <x v="1"/>
  </r>
  <r>
    <s v="RSR-96390-187"/>
    <x v="579"/>
    <s v="67052-76184-CB"/>
    <s v="E-M-1"/>
    <n v="6"/>
    <x v="710"/>
    <s v=""/>
    <x v="0"/>
    <x v="1"/>
    <x v="0"/>
    <x v="0"/>
    <n v="13.75"/>
    <n v="82.5"/>
    <x v="1"/>
    <s v="Medium"/>
    <x v="1"/>
  </r>
  <r>
    <s v="BZE-96093-118"/>
    <x v="91"/>
    <s v="43452-18035-DH"/>
    <s v="L-M-0.2"/>
    <n v="2"/>
    <x v="711"/>
    <s v="afilipczaklh@ning.com"/>
    <x v="1"/>
    <x v="3"/>
    <x v="0"/>
    <x v="3"/>
    <n v="4.3650000000000002"/>
    <n v="8.73"/>
    <x v="3"/>
    <s v="Medium"/>
    <x v="1"/>
  </r>
  <r>
    <s v="LOU-41819-242"/>
    <x v="272"/>
    <s v="88060-50676-MV"/>
    <s v="R-M-1"/>
    <n v="2"/>
    <x v="712"/>
    <s v=""/>
    <x v="0"/>
    <x v="0"/>
    <x v="0"/>
    <x v="0"/>
    <n v="9.9499999999999993"/>
    <n v="19.899999999999999"/>
    <x v="0"/>
    <s v="Medium"/>
    <x v="0"/>
  </r>
  <r>
    <s v="FND-99527-640"/>
    <x v="65"/>
    <s v="89574-96203-EP"/>
    <s v="E-L-0.5"/>
    <n v="2"/>
    <x v="713"/>
    <s v="relnaughlj@comsenz.com"/>
    <x v="0"/>
    <x v="1"/>
    <x v="1"/>
    <x v="1"/>
    <n v="8.91"/>
    <n v="17.82"/>
    <x v="1"/>
    <s v="Light"/>
    <x v="0"/>
  </r>
  <r>
    <s v="ASG-27179-958"/>
    <x v="580"/>
    <s v="12607-75113-UV"/>
    <s v="A-M-0.5"/>
    <n v="3"/>
    <x v="714"/>
    <s v="jdeehanlk@about.me"/>
    <x v="0"/>
    <x v="2"/>
    <x v="0"/>
    <x v="1"/>
    <n v="6.75"/>
    <n v="20.25"/>
    <x v="2"/>
    <s v="Medium"/>
    <x v="1"/>
  </r>
  <r>
    <s v="YKX-23510-272"/>
    <x v="581"/>
    <s v="56991-05510-PR"/>
    <s v="A-L-2.5"/>
    <n v="2"/>
    <x v="715"/>
    <s v="jedenll@e-recht24.de"/>
    <x v="0"/>
    <x v="2"/>
    <x v="1"/>
    <x v="2"/>
    <n v="29.784999999999997"/>
    <n v="59.569999999999993"/>
    <x v="2"/>
    <s v="Light"/>
    <x v="1"/>
  </r>
  <r>
    <s v="FSA-98650-921"/>
    <x v="489"/>
    <s v="01841-48191-NL"/>
    <s v="L-L-0.5"/>
    <n v="2"/>
    <x v="716"/>
    <s v="cjewsterlu@moonfruit.com"/>
    <x v="0"/>
    <x v="3"/>
    <x v="1"/>
    <x v="1"/>
    <n v="9.51"/>
    <n v="19.02"/>
    <x v="3"/>
    <s v="Light"/>
    <x v="0"/>
  </r>
  <r>
    <s v="ZUR-55774-294"/>
    <x v="234"/>
    <s v="33269-10023-CO"/>
    <s v="L-D-1"/>
    <n v="6"/>
    <x v="717"/>
    <s v="usoutherdenln@hao123.com"/>
    <x v="0"/>
    <x v="3"/>
    <x v="2"/>
    <x v="0"/>
    <n v="12.95"/>
    <n v="77.699999999999989"/>
    <x v="3"/>
    <s v="Dark"/>
    <x v="0"/>
  </r>
  <r>
    <s v="FUO-99821-974"/>
    <x v="175"/>
    <s v="31245-81098-PJ"/>
    <s v="E-M-1"/>
    <n v="3"/>
    <x v="718"/>
    <s v=""/>
    <x v="0"/>
    <x v="1"/>
    <x v="0"/>
    <x v="0"/>
    <n v="13.75"/>
    <n v="41.25"/>
    <x v="1"/>
    <s v="Medium"/>
    <x v="1"/>
  </r>
  <r>
    <s v="YVH-19865-819"/>
    <x v="582"/>
    <s v="08946-56610-IH"/>
    <s v="L-L-2.5"/>
    <n v="4"/>
    <x v="719"/>
    <s v="lburtenshawlp@shinystat.com"/>
    <x v="0"/>
    <x v="3"/>
    <x v="1"/>
    <x v="2"/>
    <n v="36.454999999999998"/>
    <n v="145.82"/>
    <x v="3"/>
    <s v="Light"/>
    <x v="1"/>
  </r>
  <r>
    <s v="NNF-47422-501"/>
    <x v="583"/>
    <s v="20260-32948-EB"/>
    <s v="E-L-0.2"/>
    <n v="6"/>
    <x v="720"/>
    <s v="agregorattilq@vistaprint.com"/>
    <x v="1"/>
    <x v="1"/>
    <x v="1"/>
    <x v="3"/>
    <n v="4.4550000000000001"/>
    <n v="26.73"/>
    <x v="1"/>
    <s v="Light"/>
    <x v="1"/>
  </r>
  <r>
    <s v="RJI-71409-490"/>
    <x v="548"/>
    <s v="31613-41626-KX"/>
    <s v="L-M-0.5"/>
    <n v="5"/>
    <x v="721"/>
    <s v="ccrosterlr@gov.uk"/>
    <x v="0"/>
    <x v="3"/>
    <x v="0"/>
    <x v="1"/>
    <n v="8.73"/>
    <n v="43.650000000000006"/>
    <x v="3"/>
    <s v="Medium"/>
    <x v="0"/>
  </r>
  <r>
    <s v="UZL-46108-213"/>
    <x v="584"/>
    <s v="75961-20170-RD"/>
    <s v="L-L-1"/>
    <n v="2"/>
    <x v="722"/>
    <s v="gwhiteheadls@hp.com"/>
    <x v="0"/>
    <x v="3"/>
    <x v="1"/>
    <x v="0"/>
    <n v="15.85"/>
    <n v="31.7"/>
    <x v="3"/>
    <s v="Light"/>
    <x v="1"/>
  </r>
  <r>
    <s v="AOX-44467-109"/>
    <x v="64"/>
    <s v="72524-06410-KD"/>
    <s v="A-D-2.5"/>
    <n v="1"/>
    <x v="723"/>
    <s v="hjodrellelt@samsung.com"/>
    <x v="0"/>
    <x v="2"/>
    <x v="2"/>
    <x v="2"/>
    <n v="22.884999999999998"/>
    <n v="22.884999999999998"/>
    <x v="2"/>
    <s v="Dark"/>
    <x v="1"/>
  </r>
  <r>
    <s v="TZD-67261-174"/>
    <x v="585"/>
    <s v="01841-48191-NL"/>
    <s v="E-D-2.5"/>
    <n v="1"/>
    <x v="716"/>
    <s v="cjewsterlu@moonfruit.com"/>
    <x v="0"/>
    <x v="1"/>
    <x v="2"/>
    <x v="2"/>
    <n v="27.945"/>
    <n v="27.945"/>
    <x v="1"/>
    <s v="Dark"/>
    <x v="0"/>
  </r>
  <r>
    <s v="TBU-64277-625"/>
    <x v="32"/>
    <s v="98918-34330-GY"/>
    <s v="E-M-1"/>
    <n v="6"/>
    <x v="724"/>
    <s v=""/>
    <x v="0"/>
    <x v="1"/>
    <x v="0"/>
    <x v="0"/>
    <n v="13.75"/>
    <n v="82.5"/>
    <x v="1"/>
    <s v="Medium"/>
    <x v="0"/>
  </r>
  <r>
    <s v="TYP-85767-944"/>
    <x v="586"/>
    <s v="51497-50894-WU"/>
    <s v="R-M-2.5"/>
    <n v="2"/>
    <x v="725"/>
    <s v="knottramlw@odnoklassniki.ru"/>
    <x v="1"/>
    <x v="0"/>
    <x v="0"/>
    <x v="2"/>
    <n v="22.884999999999998"/>
    <n v="45.769999999999996"/>
    <x v="0"/>
    <s v="Medium"/>
    <x v="0"/>
  </r>
  <r>
    <s v="GTT-73214-334"/>
    <x v="535"/>
    <s v="98636-90072-YE"/>
    <s v="A-L-1"/>
    <n v="6"/>
    <x v="726"/>
    <s v="nbuneylx@jugem.jp"/>
    <x v="0"/>
    <x v="2"/>
    <x v="1"/>
    <x v="0"/>
    <n v="12.95"/>
    <n v="77.699999999999989"/>
    <x v="2"/>
    <s v="Light"/>
    <x v="1"/>
  </r>
  <r>
    <s v="WAI-89905-069"/>
    <x v="587"/>
    <s v="47011-57815-HJ"/>
    <s v="A-L-0.5"/>
    <n v="3"/>
    <x v="727"/>
    <s v="smcshealy@photobucket.com"/>
    <x v="0"/>
    <x v="2"/>
    <x v="1"/>
    <x v="1"/>
    <n v="7.77"/>
    <n v="23.31"/>
    <x v="2"/>
    <s v="Light"/>
    <x v="1"/>
  </r>
  <r>
    <s v="OJL-96844-459"/>
    <x v="393"/>
    <s v="61253-98356-VD"/>
    <s v="L-L-0.2"/>
    <n v="5"/>
    <x v="728"/>
    <s v="khuddartlz@about.com"/>
    <x v="0"/>
    <x v="3"/>
    <x v="1"/>
    <x v="3"/>
    <n v="4.7549999999999999"/>
    <n v="23.774999999999999"/>
    <x v="3"/>
    <s v="Light"/>
    <x v="0"/>
  </r>
  <r>
    <s v="VGI-33205-360"/>
    <x v="588"/>
    <s v="96762-10814-DA"/>
    <s v="L-M-0.5"/>
    <n v="6"/>
    <x v="729"/>
    <s v="jgippesm0@cloudflare.com"/>
    <x v="2"/>
    <x v="3"/>
    <x v="0"/>
    <x v="1"/>
    <n v="8.73"/>
    <n v="52.38"/>
    <x v="3"/>
    <s v="Medium"/>
    <x v="0"/>
  </r>
  <r>
    <s v="PCA-14081-576"/>
    <x v="15"/>
    <s v="63112-10870-LC"/>
    <s v="R-L-0.2"/>
    <n v="5"/>
    <x v="730"/>
    <s v="lwhittleseem1@e-recht24.de"/>
    <x v="0"/>
    <x v="0"/>
    <x v="1"/>
    <x v="3"/>
    <n v="3.5849999999999995"/>
    <n v="17.924999999999997"/>
    <x v="0"/>
    <s v="Light"/>
    <x v="1"/>
  </r>
  <r>
    <s v="SCS-67069-962"/>
    <x v="507"/>
    <s v="21403-49423-PD"/>
    <s v="A-L-2.5"/>
    <n v="5"/>
    <x v="731"/>
    <s v="gtrengrovem2@elpais.com"/>
    <x v="0"/>
    <x v="2"/>
    <x v="1"/>
    <x v="2"/>
    <n v="29.784999999999997"/>
    <n v="148.92499999999998"/>
    <x v="2"/>
    <s v="Light"/>
    <x v="1"/>
  </r>
  <r>
    <s v="BDM-03174-485"/>
    <x v="533"/>
    <s v="29581-13303-VB"/>
    <s v="R-L-0.5"/>
    <n v="4"/>
    <x v="732"/>
    <s v="wcalderom3@stumbleupon.com"/>
    <x v="0"/>
    <x v="0"/>
    <x v="1"/>
    <x v="1"/>
    <n v="7.169999999999999"/>
    <n v="28.679999999999996"/>
    <x v="0"/>
    <s v="Light"/>
    <x v="1"/>
  </r>
  <r>
    <s v="UJV-32333-364"/>
    <x v="589"/>
    <s v="86110-83695-YS"/>
    <s v="L-L-0.5"/>
    <n v="1"/>
    <x v="733"/>
    <s v=""/>
    <x v="0"/>
    <x v="3"/>
    <x v="1"/>
    <x v="1"/>
    <n v="9.51"/>
    <n v="9.51"/>
    <x v="3"/>
    <s v="Light"/>
    <x v="1"/>
  </r>
  <r>
    <s v="FLI-11493-954"/>
    <x v="590"/>
    <s v="80454-42225-FT"/>
    <s v="A-L-0.5"/>
    <n v="4"/>
    <x v="734"/>
    <s v="jkennicottm5@yahoo.co.jp"/>
    <x v="0"/>
    <x v="2"/>
    <x v="1"/>
    <x v="1"/>
    <n v="7.77"/>
    <n v="31.08"/>
    <x v="2"/>
    <s v="Light"/>
    <x v="1"/>
  </r>
  <r>
    <s v="IWL-13117-537"/>
    <x v="457"/>
    <s v="29129-60664-KO"/>
    <s v="R-D-0.2"/>
    <n v="3"/>
    <x v="735"/>
    <s v="gruggenm6@nymag.com"/>
    <x v="0"/>
    <x v="0"/>
    <x v="2"/>
    <x v="3"/>
    <n v="2.6849999999999996"/>
    <n v="8.0549999999999997"/>
    <x v="0"/>
    <s v="Dark"/>
    <x v="0"/>
  </r>
  <r>
    <s v="OAM-76916-748"/>
    <x v="591"/>
    <s v="63025-62939-AN"/>
    <s v="E-D-1"/>
    <n v="3"/>
    <x v="736"/>
    <s v=""/>
    <x v="0"/>
    <x v="1"/>
    <x v="2"/>
    <x v="0"/>
    <n v="12.15"/>
    <n v="36.450000000000003"/>
    <x v="1"/>
    <s v="Dark"/>
    <x v="0"/>
  </r>
  <r>
    <s v="UMB-11223-710"/>
    <x v="592"/>
    <s v="49012-12987-QT"/>
    <s v="R-D-0.2"/>
    <n v="6"/>
    <x v="737"/>
    <s v="mfrightm8@harvard.edu"/>
    <x v="1"/>
    <x v="0"/>
    <x v="2"/>
    <x v="3"/>
    <n v="2.6849999999999996"/>
    <n v="16.11"/>
    <x v="0"/>
    <s v="Dark"/>
    <x v="1"/>
  </r>
  <r>
    <s v="LXR-09892-726"/>
    <x v="402"/>
    <s v="50924-94200-SQ"/>
    <s v="R-D-2.5"/>
    <n v="2"/>
    <x v="738"/>
    <s v="btartem9@aol.com"/>
    <x v="0"/>
    <x v="0"/>
    <x v="2"/>
    <x v="2"/>
    <n v="20.584999999999997"/>
    <n v="41.169999999999995"/>
    <x v="0"/>
    <s v="Dark"/>
    <x v="0"/>
  </r>
  <r>
    <s v="QXX-89943-393"/>
    <x v="593"/>
    <s v="15673-18812-IU"/>
    <s v="R-D-0.2"/>
    <n v="4"/>
    <x v="739"/>
    <s v="ckrzysztofiakma@skyrock.com"/>
    <x v="0"/>
    <x v="0"/>
    <x v="2"/>
    <x v="3"/>
    <n v="2.6849999999999996"/>
    <n v="10.739999999999998"/>
    <x v="0"/>
    <s v="Dark"/>
    <x v="1"/>
  </r>
  <r>
    <s v="WVS-57822-366"/>
    <x v="594"/>
    <s v="52151-75971-YY"/>
    <s v="E-M-2.5"/>
    <n v="4"/>
    <x v="740"/>
    <s v="dpenquetmb@diigo.com"/>
    <x v="0"/>
    <x v="1"/>
    <x v="0"/>
    <x v="2"/>
    <n v="31.624999999999996"/>
    <n v="126.49999999999999"/>
    <x v="1"/>
    <s v="Medium"/>
    <x v="1"/>
  </r>
  <r>
    <s v="CLJ-23403-689"/>
    <x v="77"/>
    <s v="19413-02045-CG"/>
    <s v="R-L-1"/>
    <n v="2"/>
    <x v="741"/>
    <s v=""/>
    <x v="2"/>
    <x v="0"/>
    <x v="1"/>
    <x v="0"/>
    <n v="11.95"/>
    <n v="23.9"/>
    <x v="0"/>
    <s v="Light"/>
    <x v="1"/>
  </r>
  <r>
    <s v="XNU-83276-288"/>
    <x v="595"/>
    <s v="98185-92775-KT"/>
    <s v="R-M-0.5"/>
    <n v="1"/>
    <x v="742"/>
    <s v=""/>
    <x v="0"/>
    <x v="0"/>
    <x v="0"/>
    <x v="1"/>
    <n v="5.97"/>
    <n v="5.97"/>
    <x v="0"/>
    <s v="Medium"/>
    <x v="1"/>
  </r>
  <r>
    <s v="YOG-94666-679"/>
    <x v="596"/>
    <s v="86991-53901-AT"/>
    <s v="L-D-0.2"/>
    <n v="2"/>
    <x v="743"/>
    <s v=""/>
    <x v="2"/>
    <x v="3"/>
    <x v="2"/>
    <x v="3"/>
    <n v="3.8849999999999998"/>
    <n v="7.77"/>
    <x v="3"/>
    <s v="Dark"/>
    <x v="0"/>
  </r>
  <r>
    <s v="KHG-33953-115"/>
    <x v="514"/>
    <s v="78226-97287-JI"/>
    <s v="L-D-0.5"/>
    <n v="3"/>
    <x v="744"/>
    <s v="kferrettimf@huffingtonpost.com"/>
    <x v="1"/>
    <x v="3"/>
    <x v="2"/>
    <x v="1"/>
    <n v="7.77"/>
    <n v="23.31"/>
    <x v="3"/>
    <s v="Dark"/>
    <x v="1"/>
  </r>
  <r>
    <s v="MHD-95615-696"/>
    <x v="54"/>
    <s v="27930-59250-JT"/>
    <s v="R-L-2.5"/>
    <n v="5"/>
    <x v="745"/>
    <s v=""/>
    <x v="0"/>
    <x v="0"/>
    <x v="1"/>
    <x v="2"/>
    <n v="27.484999999999996"/>
    <n v="137.42499999999998"/>
    <x v="0"/>
    <s v="Light"/>
    <x v="1"/>
  </r>
  <r>
    <s v="HBH-64794-080"/>
    <x v="597"/>
    <s v="40560-18556-YE"/>
    <s v="R-D-0.2"/>
    <n v="3"/>
    <x v="746"/>
    <s v=""/>
    <x v="0"/>
    <x v="0"/>
    <x v="2"/>
    <x v="3"/>
    <n v="2.6849999999999996"/>
    <n v="8.0549999999999997"/>
    <x v="0"/>
    <s v="Dark"/>
    <x v="0"/>
  </r>
  <r>
    <s v="CNJ-56058-223"/>
    <x v="105"/>
    <s v="40780-22081-LX"/>
    <s v="L-L-0.5"/>
    <n v="3"/>
    <x v="747"/>
    <s v="abalsdonemi@toplist.cz"/>
    <x v="0"/>
    <x v="3"/>
    <x v="1"/>
    <x v="1"/>
    <n v="9.51"/>
    <n v="28.53"/>
    <x v="3"/>
    <s v="Light"/>
    <x v="1"/>
  </r>
  <r>
    <s v="KHO-27106-786"/>
    <x v="210"/>
    <s v="01603-43789-TN"/>
    <s v="A-M-1"/>
    <n v="6"/>
    <x v="748"/>
    <s v="bromeramj@list-manage.com"/>
    <x v="1"/>
    <x v="2"/>
    <x v="0"/>
    <x v="0"/>
    <n v="11.25"/>
    <n v="67.5"/>
    <x v="2"/>
    <s v="Medium"/>
    <x v="0"/>
  </r>
  <r>
    <s v="KHO-27106-786"/>
    <x v="210"/>
    <s v="01603-43789-TN"/>
    <s v="L-D-2.5"/>
    <n v="6"/>
    <x v="748"/>
    <s v="bromeramj@list-manage.com"/>
    <x v="1"/>
    <x v="3"/>
    <x v="2"/>
    <x v="2"/>
    <n v="29.784999999999997"/>
    <n v="178.70999999999998"/>
    <x v="3"/>
    <s v="Dark"/>
    <x v="0"/>
  </r>
  <r>
    <s v="YAC-50329-982"/>
    <x v="598"/>
    <s v="75419-92838-TI"/>
    <s v="E-M-2.5"/>
    <n v="1"/>
    <x v="749"/>
    <s v="cbrydeml@tuttocitta.it"/>
    <x v="0"/>
    <x v="1"/>
    <x v="0"/>
    <x v="2"/>
    <n v="31.624999999999996"/>
    <n v="31.624999999999996"/>
    <x v="1"/>
    <s v="Medium"/>
    <x v="0"/>
  </r>
  <r>
    <s v="VVL-95291-039"/>
    <x v="360"/>
    <s v="96516-97464-MF"/>
    <s v="E-L-0.2"/>
    <n v="2"/>
    <x v="750"/>
    <s v="senefermm@blog.com"/>
    <x v="0"/>
    <x v="1"/>
    <x v="1"/>
    <x v="3"/>
    <n v="4.4550000000000001"/>
    <n v="8.91"/>
    <x v="1"/>
    <s v="Light"/>
    <x v="1"/>
  </r>
  <r>
    <s v="VUT-20974-364"/>
    <x v="62"/>
    <s v="90285-56295-PO"/>
    <s v="R-M-0.5"/>
    <n v="6"/>
    <x v="751"/>
    <s v="lhaggerstonemn@independent.co.uk"/>
    <x v="0"/>
    <x v="0"/>
    <x v="0"/>
    <x v="1"/>
    <n v="5.97"/>
    <n v="35.82"/>
    <x v="0"/>
    <s v="Medium"/>
    <x v="1"/>
  </r>
  <r>
    <s v="SFC-34054-213"/>
    <x v="599"/>
    <s v="08100-71102-HQ"/>
    <s v="L-L-0.5"/>
    <n v="4"/>
    <x v="752"/>
    <s v="mgundrymo@omniture.com"/>
    <x v="1"/>
    <x v="3"/>
    <x v="1"/>
    <x v="1"/>
    <n v="9.51"/>
    <n v="38.04"/>
    <x v="3"/>
    <s v="Light"/>
    <x v="1"/>
  </r>
  <r>
    <s v="UDS-04807-593"/>
    <x v="600"/>
    <s v="84074-28110-OV"/>
    <s v="L-D-0.5"/>
    <n v="2"/>
    <x v="753"/>
    <s v="bwellanmp@cafepress.com"/>
    <x v="0"/>
    <x v="3"/>
    <x v="2"/>
    <x v="1"/>
    <n v="7.77"/>
    <n v="15.54"/>
    <x v="3"/>
    <s v="Dark"/>
    <x v="1"/>
  </r>
  <r>
    <s v="FWE-98471-488"/>
    <x v="601"/>
    <s v="27930-59250-JT"/>
    <s v="L-L-1"/>
    <n v="5"/>
    <x v="745"/>
    <s v=""/>
    <x v="0"/>
    <x v="3"/>
    <x v="1"/>
    <x v="0"/>
    <n v="15.85"/>
    <n v="79.25"/>
    <x v="3"/>
    <s v="Light"/>
    <x v="1"/>
  </r>
  <r>
    <s v="RAU-17060-674"/>
    <x v="602"/>
    <s v="12747-63766-EU"/>
    <s v="L-L-0.2"/>
    <n v="1"/>
    <x v="754"/>
    <s v="catchesonmr@xinhuanet.com"/>
    <x v="0"/>
    <x v="3"/>
    <x v="1"/>
    <x v="3"/>
    <n v="4.7549999999999999"/>
    <n v="4.7549999999999999"/>
    <x v="3"/>
    <s v="Light"/>
    <x v="0"/>
  </r>
  <r>
    <s v="AOL-13866-711"/>
    <x v="603"/>
    <s v="83490-88357-LJ"/>
    <s v="E-M-1"/>
    <n v="4"/>
    <x v="755"/>
    <s v="estentonms@google.it"/>
    <x v="0"/>
    <x v="1"/>
    <x v="0"/>
    <x v="0"/>
    <n v="13.75"/>
    <n v="55"/>
    <x v="1"/>
    <s v="Medium"/>
    <x v="0"/>
  </r>
  <r>
    <s v="NOA-79645-377"/>
    <x v="604"/>
    <s v="53729-30320-XZ"/>
    <s v="R-D-0.5"/>
    <n v="5"/>
    <x v="756"/>
    <s v="etrippmt@wp.com"/>
    <x v="0"/>
    <x v="0"/>
    <x v="2"/>
    <x v="1"/>
    <n v="5.3699999999999992"/>
    <n v="26.849999999999994"/>
    <x v="0"/>
    <s v="Dark"/>
    <x v="1"/>
  </r>
  <r>
    <s v="KMS-49214-806"/>
    <x v="605"/>
    <s v="50384-52703-LA"/>
    <s v="E-L-2.5"/>
    <n v="4"/>
    <x v="757"/>
    <s v="lmacmanusmu@imdb.com"/>
    <x v="0"/>
    <x v="1"/>
    <x v="1"/>
    <x v="2"/>
    <n v="34.154999999999994"/>
    <n v="136.61999999999998"/>
    <x v="1"/>
    <s v="Light"/>
    <x v="1"/>
  </r>
  <r>
    <s v="ABK-08091-531"/>
    <x v="606"/>
    <s v="53864-36201-FG"/>
    <s v="L-L-1"/>
    <n v="3"/>
    <x v="758"/>
    <s v="tbenediktovichmv@ebay.com"/>
    <x v="0"/>
    <x v="3"/>
    <x v="1"/>
    <x v="0"/>
    <n v="15.85"/>
    <n v="47.55"/>
    <x v="3"/>
    <s v="Light"/>
    <x v="0"/>
  </r>
  <r>
    <s v="GPT-67705-953"/>
    <x v="446"/>
    <s v="70631-33225-MZ"/>
    <s v="A-M-0.2"/>
    <n v="5"/>
    <x v="759"/>
    <s v="cbournermw@chronoengine.com"/>
    <x v="0"/>
    <x v="2"/>
    <x v="0"/>
    <x v="3"/>
    <n v="3.375"/>
    <n v="16.875"/>
    <x v="2"/>
    <s v="Medium"/>
    <x v="0"/>
  </r>
  <r>
    <s v="JNA-21450-177"/>
    <x v="18"/>
    <s v="54798-14109-HC"/>
    <s v="A-D-1"/>
    <n v="3"/>
    <x v="760"/>
    <s v="oskermen3@hatena.ne.jp"/>
    <x v="0"/>
    <x v="2"/>
    <x v="2"/>
    <x v="0"/>
    <n v="9.9499999999999993"/>
    <n v="29.849999999999998"/>
    <x v="2"/>
    <s v="Dark"/>
    <x v="0"/>
  </r>
  <r>
    <s v="MPQ-23421-608"/>
    <x v="180"/>
    <s v="08023-52962-ET"/>
    <s v="E-M-0.5"/>
    <n v="5"/>
    <x v="761"/>
    <s v="kheddanmy@icq.com"/>
    <x v="0"/>
    <x v="1"/>
    <x v="0"/>
    <x v="1"/>
    <n v="8.25"/>
    <n v="41.25"/>
    <x v="1"/>
    <s v="Medium"/>
    <x v="0"/>
  </r>
  <r>
    <s v="NLI-63891-565"/>
    <x v="580"/>
    <s v="41899-00283-VK"/>
    <s v="E-M-0.2"/>
    <n v="5"/>
    <x v="762"/>
    <s v="ichartersmz@abc.net.au"/>
    <x v="0"/>
    <x v="1"/>
    <x v="0"/>
    <x v="3"/>
    <n v="4.125"/>
    <n v="20.625"/>
    <x v="1"/>
    <s v="Medium"/>
    <x v="1"/>
  </r>
  <r>
    <s v="HHF-36647-854"/>
    <x v="453"/>
    <s v="39011-18412-GR"/>
    <s v="A-D-2.5"/>
    <n v="6"/>
    <x v="763"/>
    <s v="aroubertn0@tmall.com"/>
    <x v="0"/>
    <x v="2"/>
    <x v="2"/>
    <x v="2"/>
    <n v="22.884999999999998"/>
    <n v="137.31"/>
    <x v="2"/>
    <s v="Dark"/>
    <x v="0"/>
  </r>
  <r>
    <s v="SBN-16537-046"/>
    <x v="259"/>
    <s v="60255-12579-PZ"/>
    <s v="A-D-0.2"/>
    <n v="1"/>
    <x v="764"/>
    <s v="hmairsn1@so-net.ne.jp"/>
    <x v="0"/>
    <x v="2"/>
    <x v="2"/>
    <x v="3"/>
    <n v="2.9849999999999999"/>
    <n v="2.9849999999999999"/>
    <x v="2"/>
    <s v="Dark"/>
    <x v="1"/>
  </r>
  <r>
    <s v="XZD-44484-632"/>
    <x v="607"/>
    <s v="80541-38332-BP"/>
    <s v="E-M-1"/>
    <n v="2"/>
    <x v="765"/>
    <s v="hrainforthn2@blog.com"/>
    <x v="0"/>
    <x v="1"/>
    <x v="0"/>
    <x v="0"/>
    <n v="13.75"/>
    <n v="27.5"/>
    <x v="1"/>
    <s v="Medium"/>
    <x v="1"/>
  </r>
  <r>
    <s v="XZD-44484-632"/>
    <x v="607"/>
    <s v="80541-38332-BP"/>
    <s v="A-D-0.2"/>
    <n v="2"/>
    <x v="765"/>
    <s v="hrainforthn2@blog.com"/>
    <x v="0"/>
    <x v="2"/>
    <x v="2"/>
    <x v="3"/>
    <n v="2.9849999999999999"/>
    <n v="5.97"/>
    <x v="2"/>
    <s v="Dark"/>
    <x v="1"/>
  </r>
  <r>
    <s v="IKQ-39946-768"/>
    <x v="385"/>
    <s v="72778-50968-UQ"/>
    <s v="R-M-1"/>
    <n v="6"/>
    <x v="766"/>
    <s v="ijespern4@theglobeandmail.com"/>
    <x v="0"/>
    <x v="0"/>
    <x v="0"/>
    <x v="0"/>
    <n v="9.9499999999999993"/>
    <n v="59.699999999999996"/>
    <x v="0"/>
    <s v="Medium"/>
    <x v="1"/>
  </r>
  <r>
    <s v="KMB-95211-174"/>
    <x v="608"/>
    <s v="23941-30203-MO"/>
    <s v="R-D-2.5"/>
    <n v="4"/>
    <x v="767"/>
    <s v="ldwerryhousen5@gravatar.com"/>
    <x v="0"/>
    <x v="0"/>
    <x v="2"/>
    <x v="2"/>
    <n v="20.584999999999997"/>
    <n v="82.339999999999989"/>
    <x v="0"/>
    <s v="Dark"/>
    <x v="0"/>
  </r>
  <r>
    <s v="QWY-99467-368"/>
    <x v="609"/>
    <s v="96434-50068-DZ"/>
    <s v="A-D-2.5"/>
    <n v="1"/>
    <x v="768"/>
    <s v="nbroomern6@examiner.com"/>
    <x v="0"/>
    <x v="2"/>
    <x v="2"/>
    <x v="2"/>
    <n v="22.884999999999998"/>
    <n v="22.884999999999998"/>
    <x v="2"/>
    <s v="Dark"/>
    <x v="1"/>
  </r>
  <r>
    <s v="SRG-76791-614"/>
    <x v="147"/>
    <s v="11729-74102-XB"/>
    <s v="E-L-0.5"/>
    <n v="1"/>
    <x v="769"/>
    <s v="kthoumassonn7@bloglovin.com"/>
    <x v="0"/>
    <x v="1"/>
    <x v="1"/>
    <x v="1"/>
    <n v="8.91"/>
    <n v="8.91"/>
    <x v="1"/>
    <s v="Light"/>
    <x v="0"/>
  </r>
  <r>
    <s v="VSN-94485-621"/>
    <x v="172"/>
    <s v="88116-12604-TE"/>
    <s v="A-D-0.2"/>
    <n v="4"/>
    <x v="770"/>
    <s v="fhabberghamn8@discovery.com"/>
    <x v="0"/>
    <x v="2"/>
    <x v="2"/>
    <x v="3"/>
    <n v="2.9849999999999999"/>
    <n v="11.94"/>
    <x v="2"/>
    <s v="Dark"/>
    <x v="1"/>
  </r>
  <r>
    <s v="UFZ-24348-219"/>
    <x v="610"/>
    <s v="27930-59250-JT"/>
    <s v="L-M-2.5"/>
    <n v="3"/>
    <x v="745"/>
    <s v=""/>
    <x v="0"/>
    <x v="3"/>
    <x v="0"/>
    <x v="2"/>
    <n v="33.464999999999996"/>
    <n v="100.39499999999998"/>
    <x v="3"/>
    <s v="Medium"/>
    <x v="1"/>
  </r>
  <r>
    <s v="UKS-93055-397"/>
    <x v="611"/>
    <s v="13082-41034-PD"/>
    <s v="A-D-2.5"/>
    <n v="5"/>
    <x v="771"/>
    <s v="ravrashinna@tamu.edu"/>
    <x v="0"/>
    <x v="2"/>
    <x v="2"/>
    <x v="2"/>
    <n v="22.884999999999998"/>
    <n v="114.42499999999998"/>
    <x v="2"/>
    <s v="Dark"/>
    <x v="1"/>
  </r>
  <r>
    <s v="AVH-56062-335"/>
    <x v="612"/>
    <s v="18082-74419-QH"/>
    <s v="E-M-0.5"/>
    <n v="5"/>
    <x v="772"/>
    <s v="mdoidgenb@etsy.com"/>
    <x v="0"/>
    <x v="1"/>
    <x v="0"/>
    <x v="1"/>
    <n v="8.25"/>
    <n v="41.25"/>
    <x v="1"/>
    <s v="Medium"/>
    <x v="1"/>
  </r>
  <r>
    <s v="HGE-19842-613"/>
    <x v="613"/>
    <s v="49401-45041-ZU"/>
    <s v="R-L-0.5"/>
    <n v="4"/>
    <x v="773"/>
    <s v="jedinboronc@reverbnation.com"/>
    <x v="0"/>
    <x v="0"/>
    <x v="1"/>
    <x v="1"/>
    <n v="7.169999999999999"/>
    <n v="28.679999999999996"/>
    <x v="0"/>
    <s v="Light"/>
    <x v="0"/>
  </r>
  <r>
    <s v="WBA-85905-175"/>
    <x v="611"/>
    <s v="41252-45992-VS"/>
    <s v="L-M-0.2"/>
    <n v="1"/>
    <x v="774"/>
    <s v="ttewelsonnd@cdbaby.com"/>
    <x v="0"/>
    <x v="3"/>
    <x v="0"/>
    <x v="3"/>
    <n v="4.3650000000000002"/>
    <n v="4.3650000000000002"/>
    <x v="3"/>
    <s v="Medium"/>
    <x v="1"/>
  </r>
  <r>
    <s v="DZI-35365-596"/>
    <x v="493"/>
    <s v="54798-14109-HC"/>
    <s v="E-M-0.2"/>
    <n v="2"/>
    <x v="760"/>
    <s v="oskermen3@hatena.ne.jp"/>
    <x v="0"/>
    <x v="1"/>
    <x v="0"/>
    <x v="3"/>
    <n v="4.125"/>
    <n v="8.25"/>
    <x v="1"/>
    <s v="Medium"/>
    <x v="0"/>
  </r>
  <r>
    <s v="XIR-88982-743"/>
    <x v="614"/>
    <s v="00852-54571-WP"/>
    <s v="E-M-0.2"/>
    <n v="2"/>
    <x v="775"/>
    <s v="ddrewittnf@mapquest.com"/>
    <x v="0"/>
    <x v="1"/>
    <x v="0"/>
    <x v="3"/>
    <n v="4.125"/>
    <n v="8.25"/>
    <x v="1"/>
    <s v="Medium"/>
    <x v="0"/>
  </r>
  <r>
    <s v="VUC-72395-865"/>
    <x v="151"/>
    <s v="13321-57602-GK"/>
    <s v="A-D-0.5"/>
    <n v="6"/>
    <x v="776"/>
    <s v="agladhillng@stanford.edu"/>
    <x v="0"/>
    <x v="2"/>
    <x v="2"/>
    <x v="1"/>
    <n v="5.97"/>
    <n v="35.82"/>
    <x v="2"/>
    <s v="Dark"/>
    <x v="0"/>
  </r>
  <r>
    <s v="BQJ-44755-910"/>
    <x v="489"/>
    <s v="75006-89922-VW"/>
    <s v="E-D-2.5"/>
    <n v="6"/>
    <x v="777"/>
    <s v="mlorineznh@whitehouse.gov"/>
    <x v="0"/>
    <x v="1"/>
    <x v="2"/>
    <x v="2"/>
    <n v="27.945"/>
    <n v="167.67000000000002"/>
    <x v="1"/>
    <s v="Dark"/>
    <x v="1"/>
  </r>
  <r>
    <s v="JKC-64636-831"/>
    <x v="615"/>
    <s v="52098-80103-FD"/>
    <s v="A-M-2.5"/>
    <n v="2"/>
    <x v="778"/>
    <s v=""/>
    <x v="0"/>
    <x v="2"/>
    <x v="0"/>
    <x v="2"/>
    <n v="25.874999999999996"/>
    <n v="51.749999999999993"/>
    <x v="2"/>
    <s v="Medium"/>
    <x v="0"/>
  </r>
  <r>
    <s v="ZKI-78561-066"/>
    <x v="616"/>
    <s v="60121-12432-VU"/>
    <s v="A-D-0.2"/>
    <n v="3"/>
    <x v="779"/>
    <s v="mvannj@wikipedia.org"/>
    <x v="0"/>
    <x v="2"/>
    <x v="2"/>
    <x v="3"/>
    <n v="2.9849999999999999"/>
    <n v="8.9550000000000001"/>
    <x v="2"/>
    <s v="Dark"/>
    <x v="0"/>
  </r>
  <r>
    <s v="IMP-12563-728"/>
    <x v="578"/>
    <s v="68346-14810-UA"/>
    <s v="E-L-0.5"/>
    <n v="6"/>
    <x v="780"/>
    <s v=""/>
    <x v="0"/>
    <x v="1"/>
    <x v="1"/>
    <x v="1"/>
    <n v="8.91"/>
    <n v="53.46"/>
    <x v="1"/>
    <s v="Light"/>
    <x v="1"/>
  </r>
  <r>
    <s v="MZL-81126-390"/>
    <x v="617"/>
    <s v="48464-99723-HK"/>
    <s v="A-L-0.2"/>
    <n v="6"/>
    <x v="781"/>
    <s v="jethelstonnl@creativecommons.org"/>
    <x v="0"/>
    <x v="2"/>
    <x v="1"/>
    <x v="3"/>
    <n v="3.8849999999999998"/>
    <n v="23.31"/>
    <x v="2"/>
    <s v="Light"/>
    <x v="0"/>
  </r>
  <r>
    <s v="MZL-81126-390"/>
    <x v="617"/>
    <s v="48464-99723-HK"/>
    <s v="A-M-0.2"/>
    <n v="2"/>
    <x v="781"/>
    <s v="jethelstonnl@creativecommons.org"/>
    <x v="0"/>
    <x v="2"/>
    <x v="0"/>
    <x v="3"/>
    <n v="3.375"/>
    <n v="6.75"/>
    <x v="2"/>
    <s v="Medium"/>
    <x v="0"/>
  </r>
  <r>
    <s v="TVF-57766-608"/>
    <x v="155"/>
    <s v="88420-46464-XE"/>
    <s v="L-D-0.5"/>
    <n v="1"/>
    <x v="782"/>
    <s v="peberznn@woothemes.com"/>
    <x v="0"/>
    <x v="3"/>
    <x v="2"/>
    <x v="1"/>
    <n v="7.77"/>
    <n v="7.77"/>
    <x v="3"/>
    <s v="Dark"/>
    <x v="0"/>
  </r>
  <r>
    <s v="RUX-37995-892"/>
    <x v="461"/>
    <s v="37762-09530-MP"/>
    <s v="L-D-2.5"/>
    <n v="4"/>
    <x v="783"/>
    <s v="bgaishno@altervista.org"/>
    <x v="0"/>
    <x v="3"/>
    <x v="2"/>
    <x v="2"/>
    <n v="29.784999999999997"/>
    <n v="119.13999999999999"/>
    <x v="3"/>
    <s v="Dark"/>
    <x v="0"/>
  </r>
  <r>
    <s v="AVK-76526-953"/>
    <x v="87"/>
    <s v="47268-50127-XY"/>
    <s v="A-D-1"/>
    <n v="2"/>
    <x v="784"/>
    <s v="ldantonnp@miitbeian.gov.cn"/>
    <x v="0"/>
    <x v="2"/>
    <x v="2"/>
    <x v="0"/>
    <n v="9.9499999999999993"/>
    <n v="19.899999999999999"/>
    <x v="2"/>
    <s v="Dark"/>
    <x v="1"/>
  </r>
  <r>
    <s v="RIU-02231-623"/>
    <x v="618"/>
    <s v="25544-84179-QC"/>
    <s v="R-L-0.5"/>
    <n v="5"/>
    <x v="785"/>
    <s v="smorrallnq@answers.com"/>
    <x v="0"/>
    <x v="0"/>
    <x v="1"/>
    <x v="1"/>
    <n v="7.169999999999999"/>
    <n v="35.849999999999994"/>
    <x v="0"/>
    <s v="Light"/>
    <x v="0"/>
  </r>
  <r>
    <s v="WFK-99317-827"/>
    <x v="619"/>
    <s v="32058-76765-ZL"/>
    <s v="L-D-2.5"/>
    <n v="3"/>
    <x v="786"/>
    <s v="dcrownshawnr@photobucket.com"/>
    <x v="0"/>
    <x v="3"/>
    <x v="2"/>
    <x v="2"/>
    <n v="29.784999999999997"/>
    <n v="89.35499999999999"/>
    <x v="3"/>
    <s v="Dark"/>
    <x v="1"/>
  </r>
  <r>
    <s v="SFD-00372-284"/>
    <x v="440"/>
    <s v="54798-14109-HC"/>
    <s v="L-M-0.2"/>
    <n v="2"/>
    <x v="760"/>
    <s v="oskermen3@hatena.ne.jp"/>
    <x v="0"/>
    <x v="3"/>
    <x v="0"/>
    <x v="3"/>
    <n v="4.3650000000000002"/>
    <n v="8.73"/>
    <x v="3"/>
    <s v="Medium"/>
    <x v="0"/>
  </r>
  <r>
    <s v="SXC-62166-515"/>
    <x v="489"/>
    <s v="69171-65646-UC"/>
    <s v="R-L-2.5"/>
    <n v="5"/>
    <x v="787"/>
    <s v="jreddochnt@sun.com"/>
    <x v="0"/>
    <x v="0"/>
    <x v="1"/>
    <x v="2"/>
    <n v="27.484999999999996"/>
    <n v="137.42499999999998"/>
    <x v="0"/>
    <s v="Light"/>
    <x v="1"/>
  </r>
  <r>
    <s v="YIE-87008-621"/>
    <x v="620"/>
    <s v="22503-52799-MI"/>
    <s v="L-M-0.5"/>
    <n v="4"/>
    <x v="788"/>
    <s v="stitleynu@whitehouse.gov"/>
    <x v="0"/>
    <x v="3"/>
    <x v="0"/>
    <x v="1"/>
    <n v="8.73"/>
    <n v="34.92"/>
    <x v="3"/>
    <s v="Medium"/>
    <x v="1"/>
  </r>
  <r>
    <s v="HRM-94548-288"/>
    <x v="621"/>
    <s v="08934-65581-ZI"/>
    <s v="A-L-2.5"/>
    <n v="6"/>
    <x v="789"/>
    <s v="rsimaonv@simplemachines.org"/>
    <x v="0"/>
    <x v="2"/>
    <x v="1"/>
    <x v="2"/>
    <n v="29.784999999999997"/>
    <n v="178.70999999999998"/>
    <x v="2"/>
    <s v="Light"/>
    <x v="1"/>
  </r>
  <r>
    <s v="UJG-34731-295"/>
    <x v="374"/>
    <s v="15764-22559-ZT"/>
    <s v="A-M-2.5"/>
    <n v="1"/>
    <x v="790"/>
    <s v=""/>
    <x v="0"/>
    <x v="2"/>
    <x v="0"/>
    <x v="2"/>
    <n v="25.874999999999996"/>
    <n v="25.874999999999996"/>
    <x v="2"/>
    <s v="Medium"/>
    <x v="1"/>
  </r>
  <r>
    <s v="TWD-70988-853"/>
    <x v="345"/>
    <s v="87519-68847-ZG"/>
    <s v="L-D-1"/>
    <n v="6"/>
    <x v="791"/>
    <s v="nchisholmnx@example.com"/>
    <x v="0"/>
    <x v="3"/>
    <x v="2"/>
    <x v="0"/>
    <n v="12.95"/>
    <n v="77.699999999999989"/>
    <x v="3"/>
    <s v="Dark"/>
    <x v="0"/>
  </r>
  <r>
    <s v="CIX-22904-641"/>
    <x v="622"/>
    <s v="78012-56878-UB"/>
    <s v="R-M-1"/>
    <n v="1"/>
    <x v="792"/>
    <s v="goatsny@live.com"/>
    <x v="0"/>
    <x v="0"/>
    <x v="0"/>
    <x v="0"/>
    <n v="9.9499999999999993"/>
    <n v="9.9499999999999993"/>
    <x v="0"/>
    <s v="Medium"/>
    <x v="0"/>
  </r>
  <r>
    <s v="DLV-65840-759"/>
    <x v="623"/>
    <s v="77192-72145-RG"/>
    <s v="L-M-1"/>
    <n v="2"/>
    <x v="793"/>
    <s v="mbirkinnz@java.com"/>
    <x v="0"/>
    <x v="3"/>
    <x v="0"/>
    <x v="0"/>
    <n v="14.55"/>
    <n v="29.1"/>
    <x v="3"/>
    <s v="Medium"/>
    <x v="0"/>
  </r>
  <r>
    <s v="RXN-55491-201"/>
    <x v="354"/>
    <s v="86071-79238-CX"/>
    <s v="R-L-0.2"/>
    <n v="6"/>
    <x v="794"/>
    <s v="rpysono0@constantcontact.com"/>
    <x v="1"/>
    <x v="0"/>
    <x v="1"/>
    <x v="3"/>
    <n v="3.5849999999999995"/>
    <n v="21.509999999999998"/>
    <x v="0"/>
    <s v="Light"/>
    <x v="1"/>
  </r>
  <r>
    <s v="UHK-63283-868"/>
    <x v="624"/>
    <s v="16809-16936-WF"/>
    <s v="A-M-0.5"/>
    <n v="1"/>
    <x v="795"/>
    <s v="mmacconnechieo9@reuters.com"/>
    <x v="0"/>
    <x v="2"/>
    <x v="0"/>
    <x v="1"/>
    <n v="6.75"/>
    <n v="6.75"/>
    <x v="2"/>
    <s v="Medium"/>
    <x v="0"/>
  </r>
  <r>
    <s v="PJC-31401-893"/>
    <x v="561"/>
    <s v="11212-69985-ZJ"/>
    <s v="A-D-0.5"/>
    <n v="3"/>
    <x v="796"/>
    <s v="rtreachero2@usa.gov"/>
    <x v="1"/>
    <x v="2"/>
    <x v="2"/>
    <x v="1"/>
    <n v="5.97"/>
    <n v="17.91"/>
    <x v="2"/>
    <s v="Dark"/>
    <x v="1"/>
  </r>
  <r>
    <s v="HHO-79903-185"/>
    <x v="42"/>
    <s v="53893-01719-CL"/>
    <s v="A-L-2.5"/>
    <n v="1"/>
    <x v="797"/>
    <s v="bfattorinio3@quantcast.com"/>
    <x v="1"/>
    <x v="2"/>
    <x v="1"/>
    <x v="2"/>
    <n v="29.784999999999997"/>
    <n v="29.784999999999997"/>
    <x v="2"/>
    <s v="Light"/>
    <x v="0"/>
  </r>
  <r>
    <s v="YWM-07310-594"/>
    <x v="267"/>
    <s v="66028-99867-WJ"/>
    <s v="E-M-0.5"/>
    <n v="5"/>
    <x v="798"/>
    <s v="mpalleskeo4@nyu.edu"/>
    <x v="0"/>
    <x v="1"/>
    <x v="0"/>
    <x v="1"/>
    <n v="8.25"/>
    <n v="41.25"/>
    <x v="1"/>
    <s v="Medium"/>
    <x v="0"/>
  </r>
  <r>
    <s v="FHD-94983-982"/>
    <x v="625"/>
    <s v="62839-56723-CH"/>
    <s v="R-M-0.5"/>
    <n v="3"/>
    <x v="799"/>
    <s v=""/>
    <x v="0"/>
    <x v="0"/>
    <x v="0"/>
    <x v="1"/>
    <n v="5.97"/>
    <n v="17.91"/>
    <x v="0"/>
    <s v="Medium"/>
    <x v="0"/>
  </r>
  <r>
    <s v="WQK-10857-119"/>
    <x v="616"/>
    <s v="96849-52854-CR"/>
    <s v="E-D-0.5"/>
    <n v="1"/>
    <x v="800"/>
    <s v="fantcliffeo6@amazon.co.jp"/>
    <x v="1"/>
    <x v="1"/>
    <x v="2"/>
    <x v="1"/>
    <n v="7.29"/>
    <n v="7.29"/>
    <x v="1"/>
    <s v="Dark"/>
    <x v="0"/>
  </r>
  <r>
    <s v="DXA-50313-073"/>
    <x v="626"/>
    <s v="19755-55847-VW"/>
    <s v="E-L-1"/>
    <n v="2"/>
    <x v="801"/>
    <s v="pmatignono7@harvard.edu"/>
    <x v="2"/>
    <x v="1"/>
    <x v="1"/>
    <x v="0"/>
    <n v="14.85"/>
    <n v="29.7"/>
    <x v="1"/>
    <s v="Light"/>
    <x v="0"/>
  </r>
  <r>
    <s v="ONW-00560-570"/>
    <x v="52"/>
    <s v="32900-82606-BO"/>
    <s v="A-M-1"/>
    <n v="2"/>
    <x v="802"/>
    <s v="cweondo8@theglobeandmail.com"/>
    <x v="0"/>
    <x v="2"/>
    <x v="0"/>
    <x v="0"/>
    <n v="11.25"/>
    <n v="22.5"/>
    <x v="2"/>
    <s v="Medium"/>
    <x v="1"/>
  </r>
  <r>
    <s v="BRJ-19414-277"/>
    <x v="622"/>
    <s v="16809-16936-WF"/>
    <s v="R-M-0.2"/>
    <n v="4"/>
    <x v="795"/>
    <s v="mmacconnechieo9@reuters.com"/>
    <x v="0"/>
    <x v="0"/>
    <x v="0"/>
    <x v="3"/>
    <n v="2.9849999999999999"/>
    <n v="11.94"/>
    <x v="0"/>
    <s v="Medium"/>
    <x v="0"/>
  </r>
  <r>
    <s v="MIQ-16322-908"/>
    <x v="627"/>
    <s v="20118-28138-QD"/>
    <s v="A-L-1"/>
    <n v="2"/>
    <x v="803"/>
    <s v="jskentelberyoa@paypal.com"/>
    <x v="0"/>
    <x v="2"/>
    <x v="1"/>
    <x v="0"/>
    <n v="12.95"/>
    <n v="25.9"/>
    <x v="2"/>
    <s v="Light"/>
    <x v="1"/>
  </r>
  <r>
    <s v="MVO-39328-830"/>
    <x v="628"/>
    <s v="84057-45461-AH"/>
    <s v="L-M-0.5"/>
    <n v="5"/>
    <x v="804"/>
    <s v="ocomberob@goo.gl"/>
    <x v="1"/>
    <x v="3"/>
    <x v="0"/>
    <x v="1"/>
    <n v="8.73"/>
    <n v="43.650000000000006"/>
    <x v="3"/>
    <s v="Medium"/>
    <x v="1"/>
  </r>
  <r>
    <s v="MVO-39328-830"/>
    <x v="628"/>
    <s v="84057-45461-AH"/>
    <s v="A-L-0.5"/>
    <n v="6"/>
    <x v="804"/>
    <s v="ocomberob@goo.gl"/>
    <x v="1"/>
    <x v="2"/>
    <x v="1"/>
    <x v="1"/>
    <n v="7.77"/>
    <n v="46.62"/>
    <x v="2"/>
    <s v="Light"/>
    <x v="1"/>
  </r>
  <r>
    <s v="NTJ-88319-746"/>
    <x v="629"/>
    <s v="90882-88130-KQ"/>
    <s v="L-L-0.5"/>
    <n v="3"/>
    <x v="805"/>
    <s v="ztramelod@netlog.com"/>
    <x v="0"/>
    <x v="3"/>
    <x v="1"/>
    <x v="1"/>
    <n v="9.51"/>
    <n v="28.53"/>
    <x v="3"/>
    <s v="Light"/>
    <x v="1"/>
  </r>
  <r>
    <s v="LCY-24377-948"/>
    <x v="630"/>
    <s v="21617-79890-DD"/>
    <s v="R-L-2.5"/>
    <n v="1"/>
    <x v="806"/>
    <s v=""/>
    <x v="0"/>
    <x v="0"/>
    <x v="1"/>
    <x v="2"/>
    <n v="27.484999999999996"/>
    <n v="27.484999999999996"/>
    <x v="0"/>
    <s v="Light"/>
    <x v="0"/>
  </r>
  <r>
    <s v="FWD-85967-769"/>
    <x v="631"/>
    <s v="20256-54689-LO"/>
    <s v="E-D-0.2"/>
    <n v="3"/>
    <x v="807"/>
    <s v=""/>
    <x v="0"/>
    <x v="1"/>
    <x v="2"/>
    <x v="3"/>
    <n v="3.645"/>
    <n v="10.935"/>
    <x v="1"/>
    <s v="Dark"/>
    <x v="1"/>
  </r>
  <r>
    <s v="KTO-53793-109"/>
    <x v="229"/>
    <s v="17572-27091-AA"/>
    <s v="R-L-0.2"/>
    <n v="2"/>
    <x v="808"/>
    <s v="chatfullog@ebay.com"/>
    <x v="0"/>
    <x v="0"/>
    <x v="1"/>
    <x v="3"/>
    <n v="3.5849999999999995"/>
    <n v="7.169999999999999"/>
    <x v="0"/>
    <s v="Light"/>
    <x v="1"/>
  </r>
  <r>
    <s v="OCK-89033-348"/>
    <x v="632"/>
    <s v="82300-88786-UE"/>
    <s v="A-L-0.2"/>
    <n v="6"/>
    <x v="809"/>
    <s v=""/>
    <x v="0"/>
    <x v="2"/>
    <x v="1"/>
    <x v="3"/>
    <n v="3.8849999999999998"/>
    <n v="23.31"/>
    <x v="2"/>
    <s v="Light"/>
    <x v="0"/>
  </r>
  <r>
    <s v="GPZ-36017-366"/>
    <x v="633"/>
    <s v="65732-22589-OW"/>
    <s v="A-D-2.5"/>
    <n v="5"/>
    <x v="810"/>
    <s v="kmarrisonoq@dropbox.com"/>
    <x v="0"/>
    <x v="2"/>
    <x v="2"/>
    <x v="2"/>
    <n v="22.884999999999998"/>
    <n v="114.42499999999998"/>
    <x v="2"/>
    <s v="Dark"/>
    <x v="0"/>
  </r>
  <r>
    <s v="BZP-33213-637"/>
    <x v="95"/>
    <s v="77175-09826-SF"/>
    <s v="A-M-2.5"/>
    <n v="3"/>
    <x v="811"/>
    <s v="lagnolooj@pinterest.com"/>
    <x v="0"/>
    <x v="2"/>
    <x v="0"/>
    <x v="2"/>
    <n v="25.874999999999996"/>
    <n v="77.624999999999986"/>
    <x v="2"/>
    <s v="Medium"/>
    <x v="0"/>
  </r>
  <r>
    <s v="WFH-21507-708"/>
    <x v="521"/>
    <s v="07237-32539-NB"/>
    <s v="R-D-0.5"/>
    <n v="1"/>
    <x v="812"/>
    <s v="dkiddyok@fda.gov"/>
    <x v="0"/>
    <x v="0"/>
    <x v="2"/>
    <x v="1"/>
    <n v="5.3699999999999992"/>
    <n v="5.3699999999999992"/>
    <x v="0"/>
    <s v="Dark"/>
    <x v="0"/>
  </r>
  <r>
    <s v="HST-96923-073"/>
    <x v="76"/>
    <s v="54722-76431-EX"/>
    <s v="R-D-2.5"/>
    <n v="6"/>
    <x v="813"/>
    <s v="hpetroulisol@state.tx.us"/>
    <x v="1"/>
    <x v="0"/>
    <x v="2"/>
    <x v="2"/>
    <n v="20.584999999999997"/>
    <n v="123.50999999999999"/>
    <x v="0"/>
    <s v="Dark"/>
    <x v="1"/>
  </r>
  <r>
    <s v="ENN-79947-323"/>
    <x v="634"/>
    <s v="67847-82662-TE"/>
    <s v="L-M-0.5"/>
    <n v="2"/>
    <x v="814"/>
    <s v="mschollom@taobao.com"/>
    <x v="0"/>
    <x v="3"/>
    <x v="0"/>
    <x v="1"/>
    <n v="8.73"/>
    <n v="17.46"/>
    <x v="3"/>
    <s v="Medium"/>
    <x v="1"/>
  </r>
  <r>
    <s v="BHA-47429-889"/>
    <x v="635"/>
    <s v="51114-51191-EW"/>
    <s v="E-L-0.2"/>
    <n v="3"/>
    <x v="815"/>
    <s v="kfersonon@g.co"/>
    <x v="0"/>
    <x v="1"/>
    <x v="1"/>
    <x v="3"/>
    <n v="4.4550000000000001"/>
    <n v="13.365"/>
    <x v="1"/>
    <s v="Light"/>
    <x v="1"/>
  </r>
  <r>
    <s v="SZY-63017-318"/>
    <x v="636"/>
    <s v="91809-58808-TV"/>
    <s v="A-L-0.2"/>
    <n v="2"/>
    <x v="816"/>
    <s v="bkellowayoo@omniture.com"/>
    <x v="0"/>
    <x v="2"/>
    <x v="1"/>
    <x v="3"/>
    <n v="3.8849999999999998"/>
    <n v="7.77"/>
    <x v="2"/>
    <s v="Light"/>
    <x v="0"/>
  </r>
  <r>
    <s v="LCU-93317-340"/>
    <x v="637"/>
    <s v="84996-26826-DK"/>
    <s v="R-D-0.2"/>
    <n v="1"/>
    <x v="817"/>
    <s v="soliffeop@yellowbook.com"/>
    <x v="0"/>
    <x v="0"/>
    <x v="2"/>
    <x v="3"/>
    <n v="2.6849999999999996"/>
    <n v="2.6849999999999996"/>
    <x v="0"/>
    <s v="Dark"/>
    <x v="0"/>
  </r>
  <r>
    <s v="UOM-71431-481"/>
    <x v="182"/>
    <s v="65732-22589-OW"/>
    <s v="R-D-2.5"/>
    <n v="1"/>
    <x v="810"/>
    <s v="kmarrisonoq@dropbox.com"/>
    <x v="0"/>
    <x v="0"/>
    <x v="2"/>
    <x v="2"/>
    <n v="20.584999999999997"/>
    <n v="20.584999999999997"/>
    <x v="0"/>
    <s v="Dark"/>
    <x v="0"/>
  </r>
  <r>
    <s v="PJH-42618-877"/>
    <x v="479"/>
    <s v="93676-95250-XJ"/>
    <s v="A-D-2.5"/>
    <n v="5"/>
    <x v="818"/>
    <s v="cdolohuntyor@dailymail.co.uk"/>
    <x v="0"/>
    <x v="2"/>
    <x v="2"/>
    <x v="2"/>
    <n v="22.884999999999998"/>
    <n v="114.42499999999998"/>
    <x v="2"/>
    <s v="Dark"/>
    <x v="0"/>
  </r>
  <r>
    <s v="XED-90333-402"/>
    <x v="638"/>
    <s v="28300-14355-GF"/>
    <s v="E-M-0.2"/>
    <n v="5"/>
    <x v="819"/>
    <s v="pvasilenkoos@addtoany.com"/>
    <x v="2"/>
    <x v="1"/>
    <x v="0"/>
    <x v="3"/>
    <n v="4.125"/>
    <n v="20.625"/>
    <x v="1"/>
    <s v="Medium"/>
    <x v="1"/>
  </r>
  <r>
    <s v="IKK-62234-199"/>
    <x v="639"/>
    <s v="91190-84826-IQ"/>
    <s v="L-L-0.5"/>
    <n v="6"/>
    <x v="820"/>
    <s v="rschankelborgot@ameblo.jp"/>
    <x v="0"/>
    <x v="3"/>
    <x v="1"/>
    <x v="1"/>
    <n v="9.51"/>
    <n v="57.06"/>
    <x v="3"/>
    <s v="Light"/>
    <x v="0"/>
  </r>
  <r>
    <s v="KAW-95195-329"/>
    <x v="640"/>
    <s v="34570-99384-AF"/>
    <s v="R-D-2.5"/>
    <n v="4"/>
    <x v="821"/>
    <s v=""/>
    <x v="1"/>
    <x v="0"/>
    <x v="2"/>
    <x v="2"/>
    <n v="20.584999999999997"/>
    <n v="82.339999999999989"/>
    <x v="0"/>
    <s v="Dark"/>
    <x v="0"/>
  </r>
  <r>
    <s v="QDO-57268-842"/>
    <x v="612"/>
    <s v="57808-90533-UE"/>
    <s v="E-M-2.5"/>
    <n v="5"/>
    <x v="822"/>
    <s v=""/>
    <x v="0"/>
    <x v="1"/>
    <x v="0"/>
    <x v="2"/>
    <n v="31.624999999999996"/>
    <n v="158.12499999999997"/>
    <x v="1"/>
    <s v="Medium"/>
    <x v="1"/>
  </r>
  <r>
    <s v="IIZ-24416-212"/>
    <x v="641"/>
    <s v="76060-30540-LB"/>
    <s v="R-D-0.5"/>
    <n v="6"/>
    <x v="823"/>
    <s v="bcargenow@geocities.jp"/>
    <x v="0"/>
    <x v="0"/>
    <x v="2"/>
    <x v="1"/>
    <n v="5.3699999999999992"/>
    <n v="32.22"/>
    <x v="0"/>
    <s v="Dark"/>
    <x v="0"/>
  </r>
  <r>
    <s v="AWP-11469-510"/>
    <x v="36"/>
    <s v="76730-63769-ND"/>
    <s v="E-D-1"/>
    <n v="2"/>
    <x v="824"/>
    <s v="rsticklerox@printfriendly.com"/>
    <x v="2"/>
    <x v="1"/>
    <x v="2"/>
    <x v="0"/>
    <n v="12.15"/>
    <n v="24.3"/>
    <x v="1"/>
    <s v="Dark"/>
    <x v="1"/>
  </r>
  <r>
    <s v="KXA-27983-918"/>
    <x v="642"/>
    <s v="96042-27290-EQ"/>
    <s v="R-L-0.5"/>
    <n v="5"/>
    <x v="825"/>
    <s v=""/>
    <x v="0"/>
    <x v="0"/>
    <x v="1"/>
    <x v="1"/>
    <n v="7.169999999999999"/>
    <n v="35.849999999999994"/>
    <x v="0"/>
    <s v="Light"/>
    <x v="1"/>
  </r>
  <r>
    <s v="VKQ-39009-292"/>
    <x v="219"/>
    <s v="57808-90533-UE"/>
    <s v="L-M-1"/>
    <n v="5"/>
    <x v="822"/>
    <s v=""/>
    <x v="0"/>
    <x v="3"/>
    <x v="0"/>
    <x v="0"/>
    <n v="14.55"/>
    <n v="72.75"/>
    <x v="3"/>
    <s v="Medium"/>
    <x v="1"/>
  </r>
  <r>
    <s v="PDB-98743-282"/>
    <x v="643"/>
    <s v="51940-02669-OR"/>
    <s v="L-L-1"/>
    <n v="3"/>
    <x v="826"/>
    <s v=""/>
    <x v="1"/>
    <x v="3"/>
    <x v="1"/>
    <x v="0"/>
    <n v="15.85"/>
    <n v="47.55"/>
    <x v="3"/>
    <s v="Light"/>
    <x v="1"/>
  </r>
  <r>
    <s v="SXW-34014-556"/>
    <x v="644"/>
    <s v="99144-98314-GN"/>
    <s v="R-L-0.2"/>
    <n v="1"/>
    <x v="827"/>
    <s v="djevonp1@ibm.com"/>
    <x v="0"/>
    <x v="0"/>
    <x v="1"/>
    <x v="3"/>
    <n v="3.5849999999999995"/>
    <n v="3.5849999999999995"/>
    <x v="0"/>
    <s v="Light"/>
    <x v="0"/>
  </r>
  <r>
    <s v="QOJ-38788-727"/>
    <x v="136"/>
    <s v="16358-63919-CE"/>
    <s v="E-M-2.5"/>
    <n v="5"/>
    <x v="828"/>
    <s v="hrannerp2@omniture.com"/>
    <x v="0"/>
    <x v="1"/>
    <x v="0"/>
    <x v="2"/>
    <n v="31.624999999999996"/>
    <n v="158.12499999999997"/>
    <x v="1"/>
    <s v="Medium"/>
    <x v="1"/>
  </r>
  <r>
    <s v="TGF-38649-658"/>
    <x v="645"/>
    <s v="67743-54817-UT"/>
    <s v="L-M-0.5"/>
    <n v="2"/>
    <x v="829"/>
    <s v="bimriep3@addtoany.com"/>
    <x v="0"/>
    <x v="3"/>
    <x v="0"/>
    <x v="1"/>
    <n v="8.73"/>
    <n v="17.46"/>
    <x v="3"/>
    <s v="Medium"/>
    <x v="1"/>
  </r>
  <r>
    <s v="EAI-25194-209"/>
    <x v="646"/>
    <s v="44601-51441-BH"/>
    <s v="A-L-2.5"/>
    <n v="5"/>
    <x v="830"/>
    <s v="dsopperp4@eventbrite.com"/>
    <x v="0"/>
    <x v="2"/>
    <x v="1"/>
    <x v="2"/>
    <n v="29.784999999999997"/>
    <n v="148.92499999999998"/>
    <x v="2"/>
    <s v="Light"/>
    <x v="1"/>
  </r>
  <r>
    <s v="IJK-34441-720"/>
    <x v="647"/>
    <s v="97201-58870-WB"/>
    <s v="A-M-0.5"/>
    <n v="6"/>
    <x v="831"/>
    <s v=""/>
    <x v="0"/>
    <x v="2"/>
    <x v="0"/>
    <x v="1"/>
    <n v="6.75"/>
    <n v="40.5"/>
    <x v="2"/>
    <s v="Medium"/>
    <x v="0"/>
  </r>
  <r>
    <s v="ZMC-00336-619"/>
    <x v="591"/>
    <s v="19849-12926-QF"/>
    <s v="A-M-0.5"/>
    <n v="4"/>
    <x v="832"/>
    <s v="lledgleyp6@de.vu"/>
    <x v="0"/>
    <x v="2"/>
    <x v="0"/>
    <x v="1"/>
    <n v="6.75"/>
    <n v="27"/>
    <x v="2"/>
    <s v="Medium"/>
    <x v="0"/>
  </r>
  <r>
    <s v="UPX-54529-618"/>
    <x v="648"/>
    <s v="40535-56770-UM"/>
    <s v="L-D-1"/>
    <n v="3"/>
    <x v="833"/>
    <s v="tmenaryp7@phoca.cz"/>
    <x v="0"/>
    <x v="3"/>
    <x v="2"/>
    <x v="0"/>
    <n v="12.95"/>
    <n v="38.849999999999994"/>
    <x v="3"/>
    <s v="Dark"/>
    <x v="1"/>
  </r>
  <r>
    <s v="DLX-01059-899"/>
    <x v="191"/>
    <s v="74940-09646-MU"/>
    <s v="R-L-1"/>
    <n v="5"/>
    <x v="834"/>
    <s v="gciccottip8@so-net.ne.jp"/>
    <x v="0"/>
    <x v="0"/>
    <x v="1"/>
    <x v="0"/>
    <n v="11.95"/>
    <n v="59.75"/>
    <x v="0"/>
    <s v="Light"/>
    <x v="1"/>
  </r>
  <r>
    <s v="MEK-85120-243"/>
    <x v="649"/>
    <s v="06623-54610-HC"/>
    <s v="R-L-0.2"/>
    <n v="3"/>
    <x v="835"/>
    <s v=""/>
    <x v="0"/>
    <x v="0"/>
    <x v="1"/>
    <x v="3"/>
    <n v="3.5849999999999995"/>
    <n v="10.754999999999999"/>
    <x v="0"/>
    <s v="Light"/>
    <x v="1"/>
  </r>
  <r>
    <s v="NFI-37188-246"/>
    <x v="553"/>
    <s v="89490-75361-AF"/>
    <s v="A-D-2.5"/>
    <n v="4"/>
    <x v="836"/>
    <s v="wjallinpa@pcworld.com"/>
    <x v="0"/>
    <x v="2"/>
    <x v="2"/>
    <x v="2"/>
    <n v="22.884999999999998"/>
    <n v="91.539999999999992"/>
    <x v="2"/>
    <s v="Dark"/>
    <x v="1"/>
  </r>
  <r>
    <s v="BXH-62195-013"/>
    <x v="584"/>
    <s v="94526-79230-GZ"/>
    <s v="A-M-1"/>
    <n v="4"/>
    <x v="837"/>
    <s v="mbogeypb@thetimes.co.uk"/>
    <x v="0"/>
    <x v="2"/>
    <x v="0"/>
    <x v="0"/>
    <n v="11.25"/>
    <n v="45"/>
    <x v="2"/>
    <s v="Medium"/>
    <x v="0"/>
  </r>
  <r>
    <s v="YLK-78851-470"/>
    <x v="650"/>
    <s v="58559-08254-UY"/>
    <s v="R-M-2.5"/>
    <n v="6"/>
    <x v="838"/>
    <s v=""/>
    <x v="0"/>
    <x v="0"/>
    <x v="0"/>
    <x v="2"/>
    <n v="22.884999999999998"/>
    <n v="137.31"/>
    <x v="0"/>
    <s v="Medium"/>
    <x v="0"/>
  </r>
  <r>
    <s v="DXY-76225-633"/>
    <x v="121"/>
    <s v="88574-37083-WX"/>
    <s v="A-M-0.5"/>
    <n v="1"/>
    <x v="839"/>
    <s v="mcobbledickpd@ucsd.edu"/>
    <x v="0"/>
    <x v="2"/>
    <x v="0"/>
    <x v="1"/>
    <n v="6.75"/>
    <n v="6.75"/>
    <x v="2"/>
    <s v="Medium"/>
    <x v="1"/>
  </r>
  <r>
    <s v="UHP-24614-199"/>
    <x v="472"/>
    <s v="67953-79896-AC"/>
    <s v="A-M-1"/>
    <n v="4"/>
    <x v="840"/>
    <s v="alewrype@whitehouse.gov"/>
    <x v="0"/>
    <x v="2"/>
    <x v="0"/>
    <x v="0"/>
    <n v="11.25"/>
    <n v="45"/>
    <x v="2"/>
    <s v="Medium"/>
    <x v="1"/>
  </r>
  <r>
    <s v="HBY-35655-049"/>
    <x v="594"/>
    <s v="69207-93422-CQ"/>
    <s v="E-D-2.5"/>
    <n v="3"/>
    <x v="841"/>
    <s v="ihesselpf@ox.ac.uk"/>
    <x v="0"/>
    <x v="1"/>
    <x v="2"/>
    <x v="2"/>
    <n v="27.945"/>
    <n v="83.835000000000008"/>
    <x v="1"/>
    <s v="Dark"/>
    <x v="0"/>
  </r>
  <r>
    <s v="DCE-22886-861"/>
    <x v="89"/>
    <s v="56060-17602-RG"/>
    <s v="E-D-0.2"/>
    <n v="1"/>
    <x v="842"/>
    <s v=""/>
    <x v="1"/>
    <x v="1"/>
    <x v="2"/>
    <x v="3"/>
    <n v="3.645"/>
    <n v="3.645"/>
    <x v="1"/>
    <s v="Dark"/>
    <x v="0"/>
  </r>
  <r>
    <s v="QTG-93823-843"/>
    <x v="651"/>
    <s v="46859-14212-FI"/>
    <s v="A-M-0.5"/>
    <n v="1"/>
    <x v="843"/>
    <s v="csorrellph@amazon.com"/>
    <x v="2"/>
    <x v="2"/>
    <x v="0"/>
    <x v="1"/>
    <n v="6.75"/>
    <n v="6.75"/>
    <x v="2"/>
    <s v="Medium"/>
    <x v="1"/>
  </r>
  <r>
    <s v="QTG-93823-843"/>
    <x v="651"/>
    <s v="46859-14212-FI"/>
    <s v="E-D-0.5"/>
    <n v="3"/>
    <x v="843"/>
    <s v="csorrellph@amazon.com"/>
    <x v="2"/>
    <x v="1"/>
    <x v="2"/>
    <x v="1"/>
    <n v="7.29"/>
    <n v="21.87"/>
    <x v="1"/>
    <s v="Dark"/>
    <x v="1"/>
  </r>
  <r>
    <s v="WFT-16178-396"/>
    <x v="249"/>
    <s v="33555-01585-RP"/>
    <s v="R-D-0.2"/>
    <n v="5"/>
    <x v="844"/>
    <s v="qheavysidepj@unc.edu"/>
    <x v="0"/>
    <x v="0"/>
    <x v="2"/>
    <x v="3"/>
    <n v="2.6849999999999996"/>
    <n v="13.424999999999997"/>
    <x v="0"/>
    <s v="Dark"/>
    <x v="0"/>
  </r>
  <r>
    <s v="ERC-54560-934"/>
    <x v="652"/>
    <s v="11932-85629-CU"/>
    <s v="R-D-2.5"/>
    <n v="6"/>
    <x v="845"/>
    <s v="hreuvenpk@whitehouse.gov"/>
    <x v="0"/>
    <x v="0"/>
    <x v="2"/>
    <x v="2"/>
    <n v="20.584999999999997"/>
    <n v="123.50999999999999"/>
    <x v="0"/>
    <s v="Dark"/>
    <x v="1"/>
  </r>
  <r>
    <s v="RUK-78200-416"/>
    <x v="653"/>
    <s v="36192-07175-XC"/>
    <s v="L-D-0.2"/>
    <n v="2"/>
    <x v="846"/>
    <s v="mattwoolpl@nba.com"/>
    <x v="0"/>
    <x v="3"/>
    <x v="2"/>
    <x v="3"/>
    <n v="3.8849999999999998"/>
    <n v="7.77"/>
    <x v="3"/>
    <s v="Dark"/>
    <x v="1"/>
  </r>
  <r>
    <s v="KHK-13105-388"/>
    <x v="177"/>
    <s v="46242-54946-ZW"/>
    <s v="A-M-1"/>
    <n v="6"/>
    <x v="847"/>
    <s v=""/>
    <x v="0"/>
    <x v="2"/>
    <x v="0"/>
    <x v="0"/>
    <n v="11.25"/>
    <n v="67.5"/>
    <x v="2"/>
    <s v="Medium"/>
    <x v="0"/>
  </r>
  <r>
    <s v="NJR-03699-189"/>
    <x v="22"/>
    <s v="95152-82155-VQ"/>
    <s v="E-D-2.5"/>
    <n v="1"/>
    <x v="848"/>
    <s v="gwynespn@dagondesign.com"/>
    <x v="0"/>
    <x v="1"/>
    <x v="2"/>
    <x v="2"/>
    <n v="27.945"/>
    <n v="27.945"/>
    <x v="1"/>
    <s v="Dark"/>
    <x v="1"/>
  </r>
  <r>
    <s v="PJV-20427-019"/>
    <x v="508"/>
    <s v="13404-39127-WQ"/>
    <s v="A-L-2.5"/>
    <n v="3"/>
    <x v="849"/>
    <s v="cmaccourtpo@amazon.com"/>
    <x v="0"/>
    <x v="2"/>
    <x v="1"/>
    <x v="2"/>
    <n v="29.784999999999997"/>
    <n v="89.35499999999999"/>
    <x v="2"/>
    <s v="Light"/>
    <x v="1"/>
  </r>
  <r>
    <s v="UGK-07613-982"/>
    <x v="654"/>
    <s v="57808-90533-UE"/>
    <s v="A-M-0.5"/>
    <n v="3"/>
    <x v="822"/>
    <s v=""/>
    <x v="0"/>
    <x v="2"/>
    <x v="0"/>
    <x v="1"/>
    <n v="6.75"/>
    <n v="20.25"/>
    <x v="2"/>
    <s v="Medium"/>
    <x v="1"/>
  </r>
  <r>
    <s v="OLA-68289-577"/>
    <x v="524"/>
    <s v="40226-52317-IO"/>
    <s v="A-M-0.5"/>
    <n v="5"/>
    <x v="850"/>
    <s v="ewilsonepq@eepurl.com"/>
    <x v="0"/>
    <x v="2"/>
    <x v="0"/>
    <x v="1"/>
    <n v="6.75"/>
    <n v="33.75"/>
    <x v="2"/>
    <s v="Medium"/>
    <x v="0"/>
  </r>
  <r>
    <s v="TNR-84447-052"/>
    <x v="655"/>
    <s v="34419-18068-AG"/>
    <s v="E-D-2.5"/>
    <n v="4"/>
    <x v="851"/>
    <s v="dduffiepr@time.com"/>
    <x v="0"/>
    <x v="1"/>
    <x v="2"/>
    <x v="2"/>
    <n v="27.945"/>
    <n v="111.78"/>
    <x v="1"/>
    <s v="Dark"/>
    <x v="1"/>
  </r>
  <r>
    <s v="FBZ-64200-586"/>
    <x v="523"/>
    <s v="51738-61457-RS"/>
    <s v="E-M-2.5"/>
    <n v="2"/>
    <x v="852"/>
    <s v="mmatiasekps@ucoz.ru"/>
    <x v="0"/>
    <x v="1"/>
    <x v="0"/>
    <x v="2"/>
    <n v="31.624999999999996"/>
    <n v="63.249999999999993"/>
    <x v="1"/>
    <s v="Medium"/>
    <x v="0"/>
  </r>
  <r>
    <s v="OBN-66334-505"/>
    <x v="656"/>
    <s v="86757-52367-ON"/>
    <s v="E-L-0.2"/>
    <n v="2"/>
    <x v="853"/>
    <s v="jcamillopt@shinystat.com"/>
    <x v="0"/>
    <x v="1"/>
    <x v="1"/>
    <x v="3"/>
    <n v="4.4550000000000001"/>
    <n v="8.91"/>
    <x v="1"/>
    <s v="Light"/>
    <x v="0"/>
  </r>
  <r>
    <s v="NXM-89323-646"/>
    <x v="657"/>
    <s v="28158-93383-CK"/>
    <s v="E-D-1"/>
    <n v="1"/>
    <x v="854"/>
    <s v="kphilbrickpu@cdc.gov"/>
    <x v="0"/>
    <x v="1"/>
    <x v="2"/>
    <x v="0"/>
    <n v="12.15"/>
    <n v="12.15"/>
    <x v="1"/>
    <s v="Dark"/>
    <x v="0"/>
  </r>
  <r>
    <s v="NHI-23264-055"/>
    <x v="658"/>
    <s v="44799-09711-XW"/>
    <s v="A-D-0.5"/>
    <n v="4"/>
    <x v="855"/>
    <s v=""/>
    <x v="0"/>
    <x v="2"/>
    <x v="2"/>
    <x v="1"/>
    <n v="5.97"/>
    <n v="23.88"/>
    <x v="2"/>
    <s v="Dark"/>
    <x v="0"/>
  </r>
  <r>
    <s v="EQH-53569-934"/>
    <x v="659"/>
    <s v="53667-91553-LT"/>
    <s v="E-M-1"/>
    <n v="4"/>
    <x v="856"/>
    <s v="bsillispw@istockphoto.com"/>
    <x v="0"/>
    <x v="1"/>
    <x v="0"/>
    <x v="0"/>
    <n v="13.75"/>
    <n v="55"/>
    <x v="1"/>
    <s v="Medium"/>
    <x v="1"/>
  </r>
  <r>
    <s v="XKK-06692-189"/>
    <x v="558"/>
    <s v="86579-92122-OC"/>
    <s v="R-D-1"/>
    <n v="3"/>
    <x v="857"/>
    <s v=""/>
    <x v="0"/>
    <x v="0"/>
    <x v="2"/>
    <x v="0"/>
    <n v="8.9499999999999993"/>
    <n v="26.849999999999998"/>
    <x v="0"/>
    <s v="Dark"/>
    <x v="0"/>
  </r>
  <r>
    <s v="BYP-16005-016"/>
    <x v="660"/>
    <s v="01474-63436-TP"/>
    <s v="R-M-2.5"/>
    <n v="5"/>
    <x v="858"/>
    <s v="rcuttspy@techcrunch.com"/>
    <x v="0"/>
    <x v="0"/>
    <x v="0"/>
    <x v="2"/>
    <n v="22.884999999999998"/>
    <n v="114.42499999999998"/>
    <x v="0"/>
    <s v="Medium"/>
    <x v="1"/>
  </r>
  <r>
    <s v="LWS-13938-905"/>
    <x v="661"/>
    <s v="90533-82440-EE"/>
    <s v="A-M-2.5"/>
    <n v="6"/>
    <x v="859"/>
    <s v="mdelvespz@nature.com"/>
    <x v="0"/>
    <x v="2"/>
    <x v="0"/>
    <x v="2"/>
    <n v="25.874999999999996"/>
    <n v="155.24999999999997"/>
    <x v="2"/>
    <s v="Medium"/>
    <x v="0"/>
  </r>
  <r>
    <s v="OLH-95722-362"/>
    <x v="662"/>
    <s v="48553-69225-VX"/>
    <s v="L-D-0.5"/>
    <n v="3"/>
    <x v="860"/>
    <s v="dgrittonq0@nydailynews.com"/>
    <x v="0"/>
    <x v="3"/>
    <x v="2"/>
    <x v="1"/>
    <n v="7.77"/>
    <n v="23.31"/>
    <x v="3"/>
    <s v="Dark"/>
    <x v="0"/>
  </r>
  <r>
    <s v="OLH-95722-362"/>
    <x v="662"/>
    <s v="48553-69225-VX"/>
    <s v="R-M-2.5"/>
    <n v="4"/>
    <x v="860"/>
    <s v="dgrittonq0@nydailynews.com"/>
    <x v="0"/>
    <x v="0"/>
    <x v="0"/>
    <x v="2"/>
    <n v="22.884999999999998"/>
    <n v="91.539999999999992"/>
    <x v="0"/>
    <s v="Medium"/>
    <x v="0"/>
  </r>
  <r>
    <s v="KCW-50949-318"/>
    <x v="184"/>
    <s v="52374-27313-IV"/>
    <s v="E-L-1"/>
    <n v="5"/>
    <x v="861"/>
    <s v="dgutq2@umich.edu"/>
    <x v="0"/>
    <x v="1"/>
    <x v="1"/>
    <x v="0"/>
    <n v="14.85"/>
    <n v="74.25"/>
    <x v="1"/>
    <s v="Light"/>
    <x v="0"/>
  </r>
  <r>
    <s v="JGZ-16947-591"/>
    <x v="663"/>
    <s v="14264-41252-SL"/>
    <s v="L-L-0.2"/>
    <n v="6"/>
    <x v="862"/>
    <s v="wpummeryq3@topsy.com"/>
    <x v="0"/>
    <x v="3"/>
    <x v="1"/>
    <x v="3"/>
    <n v="4.7549999999999999"/>
    <n v="28.53"/>
    <x v="3"/>
    <s v="Light"/>
    <x v="1"/>
  </r>
  <r>
    <s v="LXS-63326-144"/>
    <x v="334"/>
    <s v="35367-50483-AR"/>
    <s v="R-L-0.5"/>
    <n v="2"/>
    <x v="863"/>
    <s v="gsiudaq4@nytimes.com"/>
    <x v="0"/>
    <x v="0"/>
    <x v="1"/>
    <x v="1"/>
    <n v="7.169999999999999"/>
    <n v="14.339999999999998"/>
    <x v="0"/>
    <s v="Light"/>
    <x v="0"/>
  </r>
  <r>
    <s v="CZG-86544-655"/>
    <x v="664"/>
    <s v="69443-77665-QW"/>
    <s v="A-L-0.5"/>
    <n v="2"/>
    <x v="864"/>
    <s v="hcrowneq5@wufoo.com"/>
    <x v="1"/>
    <x v="2"/>
    <x v="1"/>
    <x v="1"/>
    <n v="7.77"/>
    <n v="15.54"/>
    <x v="2"/>
    <s v="Light"/>
    <x v="0"/>
  </r>
  <r>
    <s v="WFV-88138-247"/>
    <x v="24"/>
    <s v="63411-51758-QC"/>
    <s v="R-L-1"/>
    <n v="3"/>
    <x v="865"/>
    <s v="vpawseyq6@tiny.cc"/>
    <x v="0"/>
    <x v="0"/>
    <x v="1"/>
    <x v="0"/>
    <n v="11.95"/>
    <n v="35.849999999999994"/>
    <x v="0"/>
    <s v="Light"/>
    <x v="1"/>
  </r>
  <r>
    <s v="RFG-28227-288"/>
    <x v="12"/>
    <s v="68605-21835-UF"/>
    <s v="A-L-0.5"/>
    <n v="6"/>
    <x v="866"/>
    <s v="awaterhouseq7@istockphoto.com"/>
    <x v="0"/>
    <x v="2"/>
    <x v="1"/>
    <x v="1"/>
    <n v="7.77"/>
    <n v="46.62"/>
    <x v="2"/>
    <s v="Light"/>
    <x v="1"/>
  </r>
  <r>
    <s v="QAK-77286-758"/>
    <x v="105"/>
    <s v="34786-30419-XY"/>
    <s v="R-L-0.5"/>
    <n v="5"/>
    <x v="867"/>
    <s v="fhaughianq8@1688.com"/>
    <x v="0"/>
    <x v="0"/>
    <x v="1"/>
    <x v="1"/>
    <n v="7.169999999999999"/>
    <n v="35.849999999999994"/>
    <x v="0"/>
    <s v="Light"/>
    <x v="1"/>
  </r>
  <r>
    <s v="CZD-56716-840"/>
    <x v="665"/>
    <s v="15456-29250-RU"/>
    <s v="L-D-2.5"/>
    <n v="4"/>
    <x v="868"/>
    <s v=""/>
    <x v="0"/>
    <x v="3"/>
    <x v="2"/>
    <x v="2"/>
    <n v="29.784999999999997"/>
    <n v="119.13999999999999"/>
    <x v="3"/>
    <s v="Dark"/>
    <x v="1"/>
  </r>
  <r>
    <s v="UBI-59229-277"/>
    <x v="44"/>
    <s v="00886-35803-FG"/>
    <s v="L-D-0.5"/>
    <n v="3"/>
    <x v="869"/>
    <s v=""/>
    <x v="0"/>
    <x v="3"/>
    <x v="2"/>
    <x v="1"/>
    <n v="7.77"/>
    <n v="23.31"/>
    <x v="3"/>
    <s v="Dark"/>
    <x v="1"/>
  </r>
  <r>
    <s v="WJJ-37489-898"/>
    <x v="171"/>
    <s v="31599-82152-AD"/>
    <s v="A-M-1"/>
    <n v="1"/>
    <x v="870"/>
    <s v="rfaltinqb@topsy.com"/>
    <x v="1"/>
    <x v="2"/>
    <x v="0"/>
    <x v="0"/>
    <n v="11.25"/>
    <n v="11.25"/>
    <x v="2"/>
    <s v="Medium"/>
    <x v="1"/>
  </r>
  <r>
    <s v="ORX-57454-917"/>
    <x v="328"/>
    <s v="76209-39601-ZR"/>
    <s v="E-D-2.5"/>
    <n v="3"/>
    <x v="871"/>
    <s v="gcheekeqc@sitemeter.com"/>
    <x v="2"/>
    <x v="1"/>
    <x v="2"/>
    <x v="2"/>
    <n v="27.945"/>
    <n v="83.835000000000008"/>
    <x v="1"/>
    <s v="Dark"/>
    <x v="0"/>
  </r>
  <r>
    <s v="GRB-68838-629"/>
    <x v="648"/>
    <s v="15064-65241-HB"/>
    <s v="R-L-2.5"/>
    <n v="4"/>
    <x v="872"/>
    <s v="grattqd@phpbb.com"/>
    <x v="1"/>
    <x v="0"/>
    <x v="1"/>
    <x v="2"/>
    <n v="27.484999999999996"/>
    <n v="109.93999999999998"/>
    <x v="0"/>
    <s v="Light"/>
    <x v="1"/>
  </r>
  <r>
    <s v="SHT-04865-419"/>
    <x v="666"/>
    <s v="69215-90789-DL"/>
    <s v="R-L-0.2"/>
    <n v="4"/>
    <x v="873"/>
    <s v=""/>
    <x v="0"/>
    <x v="0"/>
    <x v="1"/>
    <x v="3"/>
    <n v="3.5849999999999995"/>
    <n v="14.339999999999998"/>
    <x v="0"/>
    <s v="Light"/>
    <x v="0"/>
  </r>
  <r>
    <s v="UQI-28177-865"/>
    <x v="577"/>
    <s v="04317-46176-TB"/>
    <s v="R-L-0.2"/>
    <n v="6"/>
    <x v="874"/>
    <s v="ieberleinqf@hc360.com"/>
    <x v="0"/>
    <x v="0"/>
    <x v="1"/>
    <x v="3"/>
    <n v="3.5849999999999995"/>
    <n v="21.509999999999998"/>
    <x v="0"/>
    <s v="Light"/>
    <x v="1"/>
  </r>
  <r>
    <s v="OIB-13664-879"/>
    <x v="114"/>
    <s v="04713-57765-KR"/>
    <s v="A-M-1"/>
    <n v="2"/>
    <x v="875"/>
    <s v="jdrengqg@uiuc.edu"/>
    <x v="1"/>
    <x v="2"/>
    <x v="0"/>
    <x v="0"/>
    <n v="11.25"/>
    <n v="22.5"/>
    <x v="2"/>
    <s v="Medium"/>
    <x v="0"/>
  </r>
  <r>
    <s v="PJS-30996-485"/>
    <x v="4"/>
    <s v="86579-92122-OC"/>
    <s v="A-L-0.2"/>
    <n v="1"/>
    <x v="857"/>
    <s v=""/>
    <x v="0"/>
    <x v="2"/>
    <x v="1"/>
    <x v="3"/>
    <n v="3.8849999999999998"/>
    <n v="3.8849999999999998"/>
    <x v="2"/>
    <s v="Light"/>
    <x v="0"/>
  </r>
  <r>
    <s v="HEL-86709-449"/>
    <x v="667"/>
    <s v="86579-92122-OC"/>
    <s v="E-D-2.5"/>
    <n v="1"/>
    <x v="857"/>
    <s v=""/>
    <x v="0"/>
    <x v="1"/>
    <x v="2"/>
    <x v="2"/>
    <n v="27.945"/>
    <n v="27.945"/>
    <x v="1"/>
    <s v="Dark"/>
    <x v="0"/>
  </r>
  <r>
    <s v="NCH-55389-562"/>
    <x v="110"/>
    <s v="86579-92122-OC"/>
    <s v="E-L-2.5"/>
    <n v="5"/>
    <x v="857"/>
    <s v=""/>
    <x v="0"/>
    <x v="1"/>
    <x v="1"/>
    <x v="2"/>
    <n v="34.154999999999994"/>
    <n v="170.77499999999998"/>
    <x v="1"/>
    <s v="Light"/>
    <x v="0"/>
  </r>
  <r>
    <s v="NCH-55389-562"/>
    <x v="110"/>
    <s v="86579-92122-OC"/>
    <s v="R-L-2.5"/>
    <n v="2"/>
    <x v="857"/>
    <s v=""/>
    <x v="0"/>
    <x v="0"/>
    <x v="1"/>
    <x v="2"/>
    <n v="27.484999999999996"/>
    <n v="54.969999999999992"/>
    <x v="0"/>
    <s v="Light"/>
    <x v="0"/>
  </r>
  <r>
    <s v="NCH-55389-562"/>
    <x v="110"/>
    <s v="86579-92122-OC"/>
    <s v="E-L-1"/>
    <n v="1"/>
    <x v="857"/>
    <s v=""/>
    <x v="0"/>
    <x v="1"/>
    <x v="1"/>
    <x v="0"/>
    <n v="14.85"/>
    <n v="14.85"/>
    <x v="1"/>
    <s v="Light"/>
    <x v="0"/>
  </r>
  <r>
    <s v="NCH-55389-562"/>
    <x v="110"/>
    <s v="86579-92122-OC"/>
    <s v="A-L-0.2"/>
    <n v="2"/>
    <x v="857"/>
    <s v=""/>
    <x v="0"/>
    <x v="2"/>
    <x v="1"/>
    <x v="3"/>
    <n v="3.8849999999999998"/>
    <n v="7.77"/>
    <x v="2"/>
    <s v="Light"/>
    <x v="0"/>
  </r>
  <r>
    <s v="GUG-45603-775"/>
    <x v="668"/>
    <s v="40959-32642-DN"/>
    <s v="L-L-0.2"/>
    <n v="5"/>
    <x v="876"/>
    <s v="rstrathernqn@devhub.com"/>
    <x v="0"/>
    <x v="3"/>
    <x v="1"/>
    <x v="3"/>
    <n v="4.7549999999999999"/>
    <n v="23.774999999999999"/>
    <x v="3"/>
    <s v="Light"/>
    <x v="0"/>
  </r>
  <r>
    <s v="KJB-98240-098"/>
    <x v="422"/>
    <s v="77746-08153-PM"/>
    <s v="L-L-1"/>
    <n v="5"/>
    <x v="877"/>
    <s v="cmiguelqo@exblog.jp"/>
    <x v="0"/>
    <x v="3"/>
    <x v="1"/>
    <x v="0"/>
    <n v="15.85"/>
    <n v="79.25"/>
    <x v="3"/>
    <s v="Light"/>
    <x v="0"/>
  </r>
  <r>
    <s v="JMS-48374-462"/>
    <x v="669"/>
    <s v="49667-96708-JL"/>
    <s v="A-D-2.5"/>
    <n v="2"/>
    <x v="878"/>
    <s v=""/>
    <x v="0"/>
    <x v="2"/>
    <x v="2"/>
    <x v="2"/>
    <n v="22.884999999999998"/>
    <n v="45.769999999999996"/>
    <x v="2"/>
    <s v="Dark"/>
    <x v="0"/>
  </r>
  <r>
    <s v="YIT-15877-117"/>
    <x v="670"/>
    <s v="24155-79322-EQ"/>
    <s v="R-D-1"/>
    <n v="1"/>
    <x v="879"/>
    <s v="mrocksqq@exblog.jp"/>
    <x v="1"/>
    <x v="0"/>
    <x v="2"/>
    <x v="0"/>
    <n v="8.9499999999999993"/>
    <n v="8.9499999999999993"/>
    <x v="0"/>
    <s v="Dark"/>
    <x v="0"/>
  </r>
  <r>
    <s v="YVK-82679-655"/>
    <x v="341"/>
    <s v="95342-88311-SF"/>
    <s v="R-M-0.5"/>
    <n v="4"/>
    <x v="880"/>
    <s v="yburrellsqr@vinaora.com"/>
    <x v="0"/>
    <x v="0"/>
    <x v="0"/>
    <x v="1"/>
    <n v="5.97"/>
    <n v="23.88"/>
    <x v="0"/>
    <s v="Medium"/>
    <x v="0"/>
  </r>
  <r>
    <s v="TYH-81940-054"/>
    <x v="671"/>
    <s v="69374-08133-RI"/>
    <s v="E-L-0.2"/>
    <n v="5"/>
    <x v="881"/>
    <s v="cgoodrumqs@goodreads.com"/>
    <x v="0"/>
    <x v="1"/>
    <x v="1"/>
    <x v="3"/>
    <n v="4.4550000000000001"/>
    <n v="22.274999999999999"/>
    <x v="1"/>
    <s v="Light"/>
    <x v="1"/>
  </r>
  <r>
    <s v="HTY-30660-254"/>
    <x v="672"/>
    <s v="83844-95908-RX"/>
    <s v="R-M-1"/>
    <n v="3"/>
    <x v="882"/>
    <s v="jjefferysqt@blog.com"/>
    <x v="0"/>
    <x v="0"/>
    <x v="0"/>
    <x v="0"/>
    <n v="9.9499999999999993"/>
    <n v="29.849999999999998"/>
    <x v="0"/>
    <s v="Medium"/>
    <x v="0"/>
  </r>
  <r>
    <s v="GPW-43956-761"/>
    <x v="673"/>
    <s v="09667-09231-YM"/>
    <s v="E-L-0.5"/>
    <n v="6"/>
    <x v="883"/>
    <s v="bwardellqu@adobe.com"/>
    <x v="0"/>
    <x v="1"/>
    <x v="1"/>
    <x v="1"/>
    <n v="8.91"/>
    <n v="53.46"/>
    <x v="1"/>
    <s v="Light"/>
    <x v="0"/>
  </r>
  <r>
    <s v="DWY-56352-412"/>
    <x v="674"/>
    <s v="55427-08059-DF"/>
    <s v="R-D-0.2"/>
    <n v="1"/>
    <x v="884"/>
    <s v="zwalisiakqv@ucsd.edu"/>
    <x v="1"/>
    <x v="0"/>
    <x v="2"/>
    <x v="3"/>
    <n v="2.6849999999999996"/>
    <n v="2.6849999999999996"/>
    <x v="0"/>
    <s v="Dark"/>
    <x v="0"/>
  </r>
  <r>
    <s v="PUH-55647-976"/>
    <x v="675"/>
    <s v="06624-54037-BQ"/>
    <s v="R-M-0.2"/>
    <n v="2"/>
    <x v="885"/>
    <s v="wleopoldqw@blogspot.com"/>
    <x v="0"/>
    <x v="0"/>
    <x v="0"/>
    <x v="3"/>
    <n v="2.9849999999999999"/>
    <n v="5.97"/>
    <x v="0"/>
    <s v="Medium"/>
    <x v="1"/>
  </r>
  <r>
    <s v="DTB-71371-705"/>
    <x v="539"/>
    <s v="48544-90737-AZ"/>
    <s v="L-D-1"/>
    <n v="1"/>
    <x v="886"/>
    <s v="cshaldersqx@cisco.com"/>
    <x v="0"/>
    <x v="3"/>
    <x v="2"/>
    <x v="0"/>
    <n v="12.95"/>
    <n v="12.95"/>
    <x v="3"/>
    <s v="Dark"/>
    <x v="0"/>
  </r>
  <r>
    <s v="ZDC-64769-740"/>
    <x v="676"/>
    <s v="79463-01597-FQ"/>
    <s v="E-M-0.5"/>
    <n v="1"/>
    <x v="887"/>
    <s v=""/>
    <x v="0"/>
    <x v="1"/>
    <x v="0"/>
    <x v="1"/>
    <n v="8.25"/>
    <n v="8.25"/>
    <x v="1"/>
    <s v="Medium"/>
    <x v="1"/>
  </r>
  <r>
    <s v="TED-81959-419"/>
    <x v="677"/>
    <s v="27702-50024-XC"/>
    <s v="A-L-2.5"/>
    <n v="5"/>
    <x v="888"/>
    <s v="nfurberqz@jugem.jp"/>
    <x v="0"/>
    <x v="2"/>
    <x v="1"/>
    <x v="2"/>
    <n v="29.784999999999997"/>
    <n v="148.92499999999998"/>
    <x v="2"/>
    <s v="Light"/>
    <x v="1"/>
  </r>
  <r>
    <s v="FDO-25756-141"/>
    <x v="629"/>
    <s v="57360-46846-NS"/>
    <s v="A-L-2.5"/>
    <n v="3"/>
    <x v="889"/>
    <s v=""/>
    <x v="1"/>
    <x v="2"/>
    <x v="1"/>
    <x v="2"/>
    <n v="29.784999999999997"/>
    <n v="89.35499999999999"/>
    <x v="2"/>
    <s v="Light"/>
    <x v="0"/>
  </r>
  <r>
    <s v="HKN-31467-517"/>
    <x v="662"/>
    <s v="84045-66771-SL"/>
    <s v="L-M-1"/>
    <n v="6"/>
    <x v="890"/>
    <s v="ckeaver1@ucoz.com"/>
    <x v="0"/>
    <x v="3"/>
    <x v="0"/>
    <x v="0"/>
    <n v="14.55"/>
    <n v="87.300000000000011"/>
    <x v="3"/>
    <s v="Medium"/>
    <x v="1"/>
  </r>
  <r>
    <s v="POF-29666-012"/>
    <x v="102"/>
    <s v="46885-00260-TL"/>
    <s v="R-D-0.5"/>
    <n v="1"/>
    <x v="891"/>
    <s v="sroseboroughr2@virginia.edu"/>
    <x v="0"/>
    <x v="0"/>
    <x v="2"/>
    <x v="1"/>
    <n v="5.3699999999999992"/>
    <n v="5.3699999999999992"/>
    <x v="0"/>
    <s v="Dark"/>
    <x v="0"/>
  </r>
  <r>
    <s v="IRX-59256-644"/>
    <x v="678"/>
    <s v="96446-62142-EN"/>
    <s v="A-D-0.2"/>
    <n v="3"/>
    <x v="892"/>
    <s v="ckingwellr3@squarespace.com"/>
    <x v="1"/>
    <x v="2"/>
    <x v="2"/>
    <x v="3"/>
    <n v="2.9849999999999999"/>
    <n v="8.9550000000000001"/>
    <x v="2"/>
    <s v="Dark"/>
    <x v="0"/>
  </r>
  <r>
    <s v="LTN-89139-350"/>
    <x v="679"/>
    <s v="07756-71018-GU"/>
    <s v="R-L-2.5"/>
    <n v="5"/>
    <x v="893"/>
    <s v="kcantor4@gmpg.org"/>
    <x v="0"/>
    <x v="0"/>
    <x v="1"/>
    <x v="2"/>
    <n v="27.484999999999996"/>
    <n v="137.42499999999998"/>
    <x v="0"/>
    <s v="Light"/>
    <x v="0"/>
  </r>
  <r>
    <s v="TXF-79780-017"/>
    <x v="112"/>
    <s v="92048-47813-QB"/>
    <s v="R-L-1"/>
    <n v="5"/>
    <x v="894"/>
    <s v="mblakemorer5@nsw.gov.au"/>
    <x v="0"/>
    <x v="0"/>
    <x v="1"/>
    <x v="0"/>
    <n v="11.95"/>
    <n v="59.75"/>
    <x v="0"/>
    <s v="Light"/>
    <x v="1"/>
  </r>
  <r>
    <s v="ALM-80762-974"/>
    <x v="55"/>
    <s v="84045-66771-SL"/>
    <s v="A-L-0.5"/>
    <n v="3"/>
    <x v="890"/>
    <s v="ckeaver1@ucoz.com"/>
    <x v="0"/>
    <x v="2"/>
    <x v="1"/>
    <x v="1"/>
    <n v="7.77"/>
    <n v="23.31"/>
    <x v="2"/>
    <s v="Light"/>
    <x v="1"/>
  </r>
  <r>
    <s v="NXF-15738-707"/>
    <x v="680"/>
    <s v="28699-16256-XV"/>
    <s v="R-D-0.5"/>
    <n v="2"/>
    <x v="895"/>
    <s v=""/>
    <x v="0"/>
    <x v="0"/>
    <x v="2"/>
    <x v="1"/>
    <n v="5.3699999999999992"/>
    <n v="10.739999999999998"/>
    <x v="0"/>
    <s v="Dark"/>
    <x v="1"/>
  </r>
  <r>
    <s v="MVV-19034-198"/>
    <x v="94"/>
    <s v="98476-63654-CG"/>
    <s v="E-D-2.5"/>
    <n v="6"/>
    <x v="896"/>
    <s v=""/>
    <x v="0"/>
    <x v="1"/>
    <x v="2"/>
    <x v="2"/>
    <n v="27.945"/>
    <n v="167.67000000000002"/>
    <x v="1"/>
    <s v="Dark"/>
    <x v="0"/>
  </r>
  <r>
    <s v="KUX-19632-830"/>
    <x v="160"/>
    <s v="55409-07759-YG"/>
    <s v="E-D-0.2"/>
    <n v="6"/>
    <x v="897"/>
    <s v="cbernardotr9@wix.com"/>
    <x v="0"/>
    <x v="1"/>
    <x v="2"/>
    <x v="3"/>
    <n v="3.645"/>
    <n v="21.87"/>
    <x v="1"/>
    <s v="Dark"/>
    <x v="0"/>
  </r>
  <r>
    <s v="SNZ-44595-152"/>
    <x v="681"/>
    <s v="06136-65250-PG"/>
    <s v="R-L-1"/>
    <n v="2"/>
    <x v="898"/>
    <s v="kkemeryra@t.co"/>
    <x v="0"/>
    <x v="0"/>
    <x v="1"/>
    <x v="0"/>
    <n v="11.95"/>
    <n v="23.9"/>
    <x v="0"/>
    <s v="Light"/>
    <x v="0"/>
  </r>
  <r>
    <s v="GQA-37241-629"/>
    <x v="502"/>
    <s v="08405-33165-BS"/>
    <s v="A-M-0.2"/>
    <n v="2"/>
    <x v="899"/>
    <s v="fparlotrb@forbes.com"/>
    <x v="0"/>
    <x v="2"/>
    <x v="0"/>
    <x v="3"/>
    <n v="3.375"/>
    <n v="6.75"/>
    <x v="2"/>
    <s v="Medium"/>
    <x v="0"/>
  </r>
  <r>
    <s v="WVV-79948-067"/>
    <x v="682"/>
    <s v="66070-30559-WI"/>
    <s v="E-M-2.5"/>
    <n v="1"/>
    <x v="900"/>
    <s v="rcheakrc@tripadvisor.com"/>
    <x v="1"/>
    <x v="1"/>
    <x v="0"/>
    <x v="2"/>
    <n v="31.624999999999996"/>
    <n v="31.624999999999996"/>
    <x v="1"/>
    <s v="Medium"/>
    <x v="0"/>
  </r>
  <r>
    <s v="LHX-81117-166"/>
    <x v="683"/>
    <s v="01282-28364-RZ"/>
    <s v="R-L-1"/>
    <n v="4"/>
    <x v="901"/>
    <s v="kogeneayrd@utexas.edu"/>
    <x v="0"/>
    <x v="0"/>
    <x v="1"/>
    <x v="0"/>
    <n v="11.95"/>
    <n v="47.8"/>
    <x v="0"/>
    <s v="Light"/>
    <x v="1"/>
  </r>
  <r>
    <s v="GCD-75444-320"/>
    <x v="594"/>
    <s v="51277-93873-RP"/>
    <s v="L-M-2.5"/>
    <n v="1"/>
    <x v="902"/>
    <s v="cayrere@symantec.com"/>
    <x v="0"/>
    <x v="3"/>
    <x v="0"/>
    <x v="2"/>
    <n v="33.464999999999996"/>
    <n v="33.464999999999996"/>
    <x v="3"/>
    <s v="Medium"/>
    <x v="1"/>
  </r>
  <r>
    <s v="SGA-30059-217"/>
    <x v="389"/>
    <s v="84405-83364-DG"/>
    <s v="A-D-0.5"/>
    <n v="5"/>
    <x v="903"/>
    <s v="lkynetonrf@macromedia.com"/>
    <x v="2"/>
    <x v="2"/>
    <x v="2"/>
    <x v="1"/>
    <n v="5.97"/>
    <n v="29.849999999999998"/>
    <x v="2"/>
    <s v="Dark"/>
    <x v="0"/>
  </r>
  <r>
    <s v="GNL-98714-885"/>
    <x v="583"/>
    <s v="83731-53280-YC"/>
    <s v="R-M-1"/>
    <n v="3"/>
    <x v="904"/>
    <s v=""/>
    <x v="2"/>
    <x v="0"/>
    <x v="0"/>
    <x v="0"/>
    <n v="9.9499999999999993"/>
    <n v="29.849999999999998"/>
    <x v="0"/>
    <s v="Medium"/>
    <x v="0"/>
  </r>
  <r>
    <s v="OQA-93249-841"/>
    <x v="647"/>
    <s v="03917-13632-KC"/>
    <s v="A-M-2.5"/>
    <n v="6"/>
    <x v="905"/>
    <s v=""/>
    <x v="0"/>
    <x v="2"/>
    <x v="0"/>
    <x v="2"/>
    <n v="25.874999999999996"/>
    <n v="155.24999999999997"/>
    <x v="2"/>
    <s v="Medium"/>
    <x v="0"/>
  </r>
  <r>
    <s v="DUV-12075-132"/>
    <x v="366"/>
    <s v="62494-09113-RP"/>
    <s v="E-D-0.2"/>
    <n v="5"/>
    <x v="906"/>
    <s v=""/>
    <x v="0"/>
    <x v="1"/>
    <x v="2"/>
    <x v="3"/>
    <n v="3.645"/>
    <n v="18.225000000000001"/>
    <x v="1"/>
    <s v="Dark"/>
    <x v="1"/>
  </r>
  <r>
    <s v="DUV-12075-132"/>
    <x v="366"/>
    <s v="62494-09113-RP"/>
    <s v="L-D-0.5"/>
    <n v="2"/>
    <x v="906"/>
    <s v=""/>
    <x v="0"/>
    <x v="3"/>
    <x v="2"/>
    <x v="1"/>
    <n v="7.77"/>
    <n v="15.54"/>
    <x v="3"/>
    <s v="Dark"/>
    <x v="1"/>
  </r>
  <r>
    <s v="KPO-24942-184"/>
    <x v="684"/>
    <s v="70567-65133-CN"/>
    <s v="L-L-2.5"/>
    <n v="3"/>
    <x v="907"/>
    <s v=""/>
    <x v="1"/>
    <x v="3"/>
    <x v="1"/>
    <x v="2"/>
    <n v="36.454999999999998"/>
    <n v="109.36499999999999"/>
    <x v="3"/>
    <s v="Light"/>
    <x v="1"/>
  </r>
  <r>
    <s v="SRJ-79353-838"/>
    <x v="506"/>
    <s v="77869-81373-AY"/>
    <s v="A-L-1"/>
    <n v="6"/>
    <x v="908"/>
    <s v=""/>
    <x v="0"/>
    <x v="2"/>
    <x v="1"/>
    <x v="0"/>
    <n v="12.95"/>
    <n v="77.699999999999989"/>
    <x v="2"/>
    <s v="Light"/>
    <x v="1"/>
  </r>
  <r>
    <s v="XBV-40336-071"/>
    <x v="685"/>
    <s v="38536-98293-JZ"/>
    <s v="A-D-0.2"/>
    <n v="3"/>
    <x v="909"/>
    <s v=""/>
    <x v="1"/>
    <x v="2"/>
    <x v="2"/>
    <x v="3"/>
    <n v="2.9849999999999999"/>
    <n v="8.9550000000000001"/>
    <x v="2"/>
    <s v="Dark"/>
    <x v="1"/>
  </r>
  <r>
    <s v="RLM-96511-467"/>
    <x v="191"/>
    <s v="43014-53743-XK"/>
    <s v="R-L-2.5"/>
    <n v="1"/>
    <x v="910"/>
    <s v="jtewelsonrn@samsung.com"/>
    <x v="0"/>
    <x v="0"/>
    <x v="1"/>
    <x v="2"/>
    <n v="27.484999999999996"/>
    <n v="27.484999999999996"/>
    <x v="0"/>
    <s v="Light"/>
    <x v="1"/>
  </r>
  <r>
    <s v="AEZ-13242-456"/>
    <x v="686"/>
    <s v="62494-09113-RP"/>
    <s v="R-M-0.5"/>
    <n v="5"/>
    <x v="906"/>
    <s v=""/>
    <x v="0"/>
    <x v="0"/>
    <x v="0"/>
    <x v="1"/>
    <n v="5.97"/>
    <n v="29.849999999999998"/>
    <x v="0"/>
    <s v="Medium"/>
    <x v="1"/>
  </r>
  <r>
    <s v="UME-75640-698"/>
    <x v="687"/>
    <s v="62494-09113-RP"/>
    <s v="A-M-0.5"/>
    <n v="4"/>
    <x v="906"/>
    <s v=""/>
    <x v="0"/>
    <x v="2"/>
    <x v="0"/>
    <x v="1"/>
    <n v="6.75"/>
    <n v="27"/>
    <x v="2"/>
    <s v="Medium"/>
    <x v="1"/>
  </r>
  <r>
    <s v="GJC-66474-557"/>
    <x v="629"/>
    <s v="64965-78386-MY"/>
    <s v="A-D-1"/>
    <n v="1"/>
    <x v="911"/>
    <s v="njennyrq@bigcartel.com"/>
    <x v="0"/>
    <x v="2"/>
    <x v="2"/>
    <x v="0"/>
    <n v="9.9499999999999993"/>
    <n v="9.9499999999999993"/>
    <x v="2"/>
    <s v="Dark"/>
    <x v="1"/>
  </r>
  <r>
    <s v="IRV-20769-219"/>
    <x v="688"/>
    <s v="77131-58092-GE"/>
    <s v="E-M-0.2"/>
    <n v="3"/>
    <x v="912"/>
    <s v=""/>
    <x v="2"/>
    <x v="1"/>
    <x v="0"/>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0E39BE-44A3-AF49-948B-A947B506D500}" name="Total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3">
    <chartFormat chart="5"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E2831-5480-C343-82DE-6EA9192CFE0A}" name="Total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8">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0"/>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9FAB8-5312-1C46-BB95-961BB3B6C866}" name="TotalSales" cacheId="2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8">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7DE79C2A-1CA8-AB41-BDBB-E989C6D82E19}" sourceName="Roast Type">
  <pivotTables>
    <pivotTable tabId="18" name="TotalSales"/>
    <pivotTable tabId="19" name="TotalSales"/>
    <pivotTable tabId="20" name="TotalSales"/>
  </pivotTables>
  <data>
    <tabular pivotCacheId="212312359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24CBFC4-5789-BF49-ABB4-8E486C2A039D}" sourceName="Size">
  <pivotTables>
    <pivotTable tabId="18" name="TotalSales"/>
    <pivotTable tabId="19" name="TotalSales"/>
    <pivotTable tabId="20" name="TotalSales"/>
  </pivotTables>
  <data>
    <tabular pivotCacheId="212312359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57263BA-2D0B-DF42-AFC7-7C90A724C581}" sourceName="Loyalty Card">
  <pivotTables>
    <pivotTable tabId="18" name="TotalSales"/>
    <pivotTable tabId="19" name="TotalSales"/>
    <pivotTable tabId="20" name="TotalSales"/>
  </pivotTables>
  <data>
    <tabular pivotCacheId="21231235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2" xr10:uid="{AF8A5A73-BAD4-8544-B7A9-1C85697BC708}" cache="Slicer_Roast_Type" caption="Roast Type" columnCount="3" rowHeight="230716"/>
  <slicer name="Size" xr10:uid="{C7FBB85E-47AD-094E-A99E-AED404CEBE99}" cache="Slicer_Size" caption="Size" columnCount="2" rowHeight="228600"/>
  <slicer name="Loyalty Card" xr10:uid="{9F53A907-1400-BA43-9F47-39E474A82B94}" cache="Slicer_Loyalty_Card" caption="Loyalty Car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70ACA7-B1AC-4949-87D5-C67AC2B8AC9E}" name="Orders" displayName="Orders" ref="A1:P1001" totalsRowShown="0" headerRowDxfId="11">
  <autoFilter ref="A1:P1001" xr:uid="{5C70ACA7-B1AC-4949-87D5-C67AC2B8AC9E}"/>
  <tableColumns count="16">
    <tableColumn id="1" xr3:uid="{6021840F-AB83-184E-9E49-6C9FE1D12E96}" name="Order ID" dataDxfId="10"/>
    <tableColumn id="2" xr3:uid="{7EA5EC53-43D5-2046-ADC5-3BE6228D4A41}" name="Order Date" dataDxfId="9"/>
    <tableColumn id="3" xr3:uid="{CE82BE78-671F-2A42-BCCC-1C10C666D07F}" name="Customer ID" dataDxfId="8"/>
    <tableColumn id="4" xr3:uid="{2E942DBA-10B0-8645-86AB-502BC36D6C16}" name="Product ID"/>
    <tableColumn id="5" xr3:uid="{38F9D50D-5FE0-1E4C-A090-EC1F4BB87AA5}" name="Quantity" dataDxfId="7"/>
    <tableColumn id="6" xr3:uid="{5BF1F7BE-323E-6348-A63D-BBEEE3A48E34}" name="Customer Name" dataDxfId="6">
      <calculatedColumnFormula>_xlfn.XLOOKUP(C2,customers!$A$1:$A$1001,customers!$B$1:$B$1001,,)</calculatedColumnFormula>
    </tableColumn>
    <tableColumn id="7" xr3:uid="{AC49921A-59E2-C74E-89A8-1625A732D168}" name="Email" dataDxfId="5">
      <calculatedColumnFormula>IF(_xlfn.XLOOKUP(C2,customers!$A$1:$A$1001,customers!$C$1:$C$1001,,0)=0,"",(_xlfn.XLOOKUP(C2,customers!$A$1:$A$1001,customers!$C$1:$C$1001,,0)))</calculatedColumnFormula>
    </tableColumn>
    <tableColumn id="8" xr3:uid="{EB8B8B91-8B64-1C49-96B8-A9D2F62E7615}" name="Country" dataDxfId="4">
      <calculatedColumnFormula>_xlfn.XLOOKUP(C2,customers!$A$1:$A$1001,customers!$G$1:$G$1001,,0)</calculatedColumnFormula>
    </tableColumn>
    <tableColumn id="9" xr3:uid="{CEF2FF9F-ABAF-9249-ABD3-1E55B77CA116}" name="Coffee Type">
      <calculatedColumnFormula>INDEX(products!$A$1:$G$49,MATCH($D2,products!$A$1:$A$49,0),MATCH(I$1,products!$A$1:$G$1,0))</calculatedColumnFormula>
    </tableColumn>
    <tableColumn id="10" xr3:uid="{1AD040A7-6F3C-0945-9C16-A04A75F248E3}" name="Roast Type">
      <calculatedColumnFormula array="1">INDEX(products!$B$2:$E$49,MATCH($D2,products!$A$2:$A$49,0),COLUMN(B1))</calculatedColumnFormula>
    </tableColumn>
    <tableColumn id="11" xr3:uid="{9A42AB2B-C01D-8546-AF6A-45F1E281231E}" name="Size" dataDxfId="3">
      <calculatedColumnFormula array="1">INDEX(products!$B$2:$E$49,MATCH($D2,products!$A$2:$A$49,0),COLUMN(C1))</calculatedColumnFormula>
    </tableColumn>
    <tableColumn id="12" xr3:uid="{2A92BC44-C04E-F549-BDF4-302C7A557E08}" name="Unit Price" dataDxfId="2" dataCellStyle="Currency">
      <calculatedColumnFormula array="1">INDEX(products!$B$2:$E$49,MATCH($D2,products!$A$2:$A$49,0),COLUMN(D1))</calculatedColumnFormula>
    </tableColumn>
    <tableColumn id="13" xr3:uid="{812704D8-B10B-C447-901F-0F23511F8424}" name="Sales" dataDxfId="1" dataCellStyle="Currency">
      <calculatedColumnFormula>E2*L2</calculatedColumnFormula>
    </tableColumn>
    <tableColumn id="14" xr3:uid="{0AC40FF7-2CA3-8C4A-8EFC-17A5EDDF1E7F}" name="Coffe type Name">
      <calculatedColumnFormula>IF(I2="Rob","Robusta",IF(I2="Exc","Excelsa",IF(I2="Ara","Arabica",IF(I2="Lib","Liberica",""""))))</calculatedColumnFormula>
    </tableColumn>
    <tableColumn id="15" xr3:uid="{4728947D-3F2A-B640-964C-4FD873BCDC95}" name="Roast type name ">
      <calculatedColumnFormula>IF(J2="m","Medium",IF(J2="l","Light",IF(J2="d","Dark","")))</calculatedColumnFormula>
    </tableColumn>
    <tableColumn id="16" xr3:uid="{05933EC7-7F8E-E241-AD55-E42F946CFCF2}"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F9D085C-9C66-7644-A86E-5293B441CBB9}" sourceName="Order Date">
  <pivotTables>
    <pivotTable tabId="18" name="TotalSales"/>
    <pivotTable tabId="19" name="TotalSales"/>
    <pivotTable tabId="20" name="TotalSales"/>
  </pivotTables>
  <state minimalRefreshVersion="6" lastRefreshVersion="6" pivotCacheId="212312359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E865B4B-C4E7-5B48-8A1E-642A680C14C8}" cache="NativeTimeline_Order_Date" caption="Order Date" level="2" selectionLevel="2" scrollPosition="2019-01-01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DDFF7B3-4392-4E47-BCF5-6A0FCD9FF4AA}">
  <we:reference id="wa200005502" version="1.0.0.13" store="en-GB" storeType="OMEX"/>
  <we:alternateReferences>
    <we:reference id="wa200005502" version="1.0.0.13" store="wa200005502" storeType="OMEX"/>
  </we:alternateReferences>
  <we:properties>
    <we:property name="docId" value="&quot;XOJU4LD4RdQUTxVQe9qf7&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BA82AE4D-601A-6B41-A81A-23258D273C6E}">
  <we:reference id="wa200005271" version="3.0.0.4" store="en-GB"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37AE1-A7DE-F447-A6A7-90E7E7FAD9AE}">
  <sheetPr codeName="Sheet6">
    <tabColor rgb="FF3C1464"/>
  </sheetPr>
  <dimension ref="A3:U33"/>
  <sheetViews>
    <sheetView topLeftCell="A3" workbookViewId="0">
      <selection activeCell="O50" sqref="O50"/>
    </sheetView>
  </sheetViews>
  <sheetFormatPr baseColWidth="10" defaultRowHeight="15" x14ac:dyDescent="0.2"/>
  <cols>
    <col min="1" max="1" width="16" bestFit="1" customWidth="1"/>
    <col min="2" max="3" width="10.5" bestFit="1" customWidth="1"/>
    <col min="4" max="6" width="7.33203125" bestFit="1" customWidth="1"/>
  </cols>
  <sheetData>
    <row r="3" spans="1:2" x14ac:dyDescent="0.2">
      <c r="A3" s="6" t="s">
        <v>4</v>
      </c>
      <c r="B3" t="s">
        <v>6220</v>
      </c>
    </row>
    <row r="4" spans="1:2" x14ac:dyDescent="0.2">
      <c r="A4" t="s">
        <v>3753</v>
      </c>
      <c r="B4" s="9">
        <v>278.01</v>
      </c>
    </row>
    <row r="5" spans="1:2" x14ac:dyDescent="0.2">
      <c r="A5" t="s">
        <v>1598</v>
      </c>
      <c r="B5" s="9">
        <v>281.67499999999995</v>
      </c>
    </row>
    <row r="6" spans="1:2" x14ac:dyDescent="0.2">
      <c r="A6" t="s">
        <v>2587</v>
      </c>
      <c r="B6" s="9">
        <v>289.11</v>
      </c>
    </row>
    <row r="7" spans="1:2" x14ac:dyDescent="0.2">
      <c r="A7" t="s">
        <v>5765</v>
      </c>
      <c r="B7" s="9">
        <v>307.04499999999996</v>
      </c>
    </row>
    <row r="8" spans="1:2" x14ac:dyDescent="0.2">
      <c r="A8" t="s">
        <v>5114</v>
      </c>
      <c r="B8" s="9">
        <v>317.06999999999994</v>
      </c>
    </row>
    <row r="17" spans="8:13" x14ac:dyDescent="0.2">
      <c r="M17" t="s">
        <v>6221</v>
      </c>
    </row>
    <row r="28" spans="8:13" x14ac:dyDescent="0.2">
      <c r="H28" t="s">
        <v>6221</v>
      </c>
    </row>
    <row r="33" spans="21:21" x14ac:dyDescent="0.2">
      <c r="U33"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48CC-6BB9-4948-8B59-6B6DFC96636C}">
  <sheetPr>
    <tabColor rgb="FF3C1464"/>
  </sheetPr>
  <dimension ref="A1"/>
  <sheetViews>
    <sheetView showGridLines="0" tabSelected="1" zoomScale="86" workbookViewId="0">
      <selection activeCell="M69" sqref="M69"/>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FBB4-F015-F74F-96FA-6F58D60E2DDD}">
  <sheetPr codeName="Sheet1">
    <tabColor rgb="FF3C1464"/>
  </sheetPr>
  <dimension ref="A3:U33"/>
  <sheetViews>
    <sheetView topLeftCell="A3" workbookViewId="0">
      <selection activeCell="E46" sqref="E46"/>
    </sheetView>
  </sheetViews>
  <sheetFormatPr baseColWidth="10" defaultRowHeight="15" x14ac:dyDescent="0.2"/>
  <cols>
    <col min="1" max="1" width="13.5" bestFit="1" customWidth="1"/>
    <col min="2" max="3" width="10.5" bestFit="1" customWidth="1"/>
    <col min="4" max="6" width="7.33203125" bestFit="1" customWidth="1"/>
  </cols>
  <sheetData>
    <row r="3" spans="1:2" x14ac:dyDescent="0.2">
      <c r="A3" s="6" t="s">
        <v>7</v>
      </c>
      <c r="B3" t="s">
        <v>6220</v>
      </c>
    </row>
    <row r="4" spans="1:2" x14ac:dyDescent="0.2">
      <c r="A4" t="s">
        <v>28</v>
      </c>
      <c r="B4" s="9">
        <v>2798.5050000000001</v>
      </c>
    </row>
    <row r="5" spans="1:2" x14ac:dyDescent="0.2">
      <c r="A5" t="s">
        <v>318</v>
      </c>
      <c r="B5" s="9">
        <v>6696.8649999999989</v>
      </c>
    </row>
    <row r="6" spans="1:2" x14ac:dyDescent="0.2">
      <c r="A6" t="s">
        <v>19</v>
      </c>
      <c r="B6" s="9">
        <v>35638.88499999998</v>
      </c>
    </row>
    <row r="17" spans="8:13" x14ac:dyDescent="0.2">
      <c r="M17" t="s">
        <v>6221</v>
      </c>
    </row>
    <row r="28" spans="8:13" x14ac:dyDescent="0.2">
      <c r="H28" t="s">
        <v>6221</v>
      </c>
    </row>
    <row r="33" spans="21:21" x14ac:dyDescent="0.2">
      <c r="U33"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4010-0247-2E46-8F37-61119178235D}">
  <sheetPr codeName="Sheet2">
    <tabColor rgb="FF3C1464"/>
  </sheetPr>
  <dimension ref="A3:U48"/>
  <sheetViews>
    <sheetView topLeftCell="B1" workbookViewId="0">
      <selection activeCell="E46" sqref="E46"/>
    </sheetView>
  </sheetViews>
  <sheetFormatPr baseColWidth="10" defaultRowHeight="15" x14ac:dyDescent="0.2"/>
  <cols>
    <col min="1" max="1" width="12.1640625" bestFit="1" customWidth="1"/>
    <col min="2" max="2" width="19.6640625" bestFit="1" customWidth="1"/>
    <col min="3" max="3" width="16.33203125" bestFit="1" customWidth="1"/>
    <col min="4" max="4" width="6.6640625" bestFit="1" customWidth="1"/>
    <col min="5" max="6" width="7.33203125" bestFit="1" customWidth="1"/>
  </cols>
  <sheetData>
    <row r="3" spans="1:6" x14ac:dyDescent="0.2">
      <c r="A3" s="6" t="s">
        <v>6220</v>
      </c>
      <c r="C3" s="6" t="s">
        <v>6200</v>
      </c>
    </row>
    <row r="4" spans="1:6" x14ac:dyDescent="0.2">
      <c r="A4" s="6" t="s">
        <v>6218</v>
      </c>
      <c r="B4" s="6" t="s">
        <v>6219</v>
      </c>
      <c r="C4" t="s">
        <v>6197</v>
      </c>
      <c r="D4" t="s">
        <v>6199</v>
      </c>
      <c r="E4" t="s">
        <v>6198</v>
      </c>
      <c r="F4" t="s">
        <v>6196</v>
      </c>
    </row>
    <row r="5" spans="1:6" x14ac:dyDescent="0.2">
      <c r="A5" t="s">
        <v>6202</v>
      </c>
      <c r="B5" t="s">
        <v>6206</v>
      </c>
      <c r="C5" s="7">
        <v>186.85499999999999</v>
      </c>
      <c r="D5" s="7">
        <v>305.97000000000003</v>
      </c>
      <c r="E5" s="7">
        <v>213.15999999999997</v>
      </c>
      <c r="F5" s="7">
        <v>123</v>
      </c>
    </row>
    <row r="6" spans="1:6" x14ac:dyDescent="0.2">
      <c r="B6" t="s">
        <v>6207</v>
      </c>
      <c r="C6" s="7">
        <v>251.96499999999997</v>
      </c>
      <c r="D6" s="7">
        <v>129.46</v>
      </c>
      <c r="E6" s="7">
        <v>434.03999999999996</v>
      </c>
      <c r="F6" s="7">
        <v>171.93999999999997</v>
      </c>
    </row>
    <row r="7" spans="1:6" x14ac:dyDescent="0.2">
      <c r="B7" t="s">
        <v>6208</v>
      </c>
      <c r="C7" s="7">
        <v>224.94499999999999</v>
      </c>
      <c r="D7" s="7">
        <v>349.12</v>
      </c>
      <c r="E7" s="7">
        <v>321.04000000000002</v>
      </c>
      <c r="F7" s="7">
        <v>126.035</v>
      </c>
    </row>
    <row r="8" spans="1:6" x14ac:dyDescent="0.2">
      <c r="B8" t="s">
        <v>6209</v>
      </c>
      <c r="C8" s="7">
        <v>307.12</v>
      </c>
      <c r="D8" s="7">
        <v>681.07499999999993</v>
      </c>
      <c r="E8" s="7">
        <v>533.70499999999993</v>
      </c>
      <c r="F8" s="7">
        <v>158.85</v>
      </c>
    </row>
    <row r="9" spans="1:6" x14ac:dyDescent="0.2">
      <c r="B9" t="s">
        <v>6210</v>
      </c>
      <c r="C9" s="7">
        <v>53.664999999999992</v>
      </c>
      <c r="D9" s="7">
        <v>83.025000000000006</v>
      </c>
      <c r="E9" s="7">
        <v>193.83499999999998</v>
      </c>
      <c r="F9" s="7">
        <v>68.039999999999992</v>
      </c>
    </row>
    <row r="10" spans="1:6" x14ac:dyDescent="0.2">
      <c r="B10" t="s">
        <v>6211</v>
      </c>
      <c r="C10" s="7">
        <v>163.01999999999998</v>
      </c>
      <c r="D10" s="7">
        <v>678.3599999999999</v>
      </c>
      <c r="E10" s="7">
        <v>171.04500000000002</v>
      </c>
      <c r="F10" s="7">
        <v>372.255</v>
      </c>
    </row>
    <row r="11" spans="1:6" x14ac:dyDescent="0.2">
      <c r="B11" t="s">
        <v>6212</v>
      </c>
      <c r="C11" s="7">
        <v>345.02</v>
      </c>
      <c r="D11" s="7">
        <v>273.86999999999995</v>
      </c>
      <c r="E11" s="7">
        <v>184.12999999999997</v>
      </c>
      <c r="F11" s="7">
        <v>201.11499999999998</v>
      </c>
    </row>
    <row r="12" spans="1:6" x14ac:dyDescent="0.2">
      <c r="B12" t="s">
        <v>6213</v>
      </c>
      <c r="C12" s="7">
        <v>334.89</v>
      </c>
      <c r="D12" s="7">
        <v>70.95</v>
      </c>
      <c r="E12" s="7">
        <v>134.23000000000002</v>
      </c>
      <c r="F12" s="7">
        <v>166.27499999999998</v>
      </c>
    </row>
    <row r="13" spans="1:6" x14ac:dyDescent="0.2">
      <c r="B13" t="s">
        <v>6214</v>
      </c>
      <c r="C13" s="7">
        <v>178.70999999999998</v>
      </c>
      <c r="D13" s="7">
        <v>166.1</v>
      </c>
      <c r="E13" s="7">
        <v>439.30999999999995</v>
      </c>
      <c r="F13" s="7">
        <v>492.9</v>
      </c>
    </row>
    <row r="14" spans="1:6" x14ac:dyDescent="0.2">
      <c r="B14" t="s">
        <v>6215</v>
      </c>
      <c r="C14" s="7">
        <v>301.98500000000001</v>
      </c>
      <c r="D14" s="7">
        <v>153.76499999999999</v>
      </c>
      <c r="E14" s="7">
        <v>215.55499999999998</v>
      </c>
      <c r="F14" s="7">
        <v>213.66499999999999</v>
      </c>
    </row>
    <row r="15" spans="1:6" x14ac:dyDescent="0.2">
      <c r="B15" t="s">
        <v>6216</v>
      </c>
      <c r="C15" s="7">
        <v>312.83499999999998</v>
      </c>
      <c r="D15" s="7">
        <v>63.249999999999993</v>
      </c>
      <c r="E15" s="7">
        <v>350.89500000000004</v>
      </c>
      <c r="F15" s="7">
        <v>96.405000000000001</v>
      </c>
    </row>
    <row r="16" spans="1:6" x14ac:dyDescent="0.2">
      <c r="B16" t="s">
        <v>6217</v>
      </c>
      <c r="C16" s="7">
        <v>265.62</v>
      </c>
      <c r="D16" s="7">
        <v>526.51499999999987</v>
      </c>
      <c r="E16" s="7">
        <v>187.06</v>
      </c>
      <c r="F16" s="7">
        <v>210.58999999999997</v>
      </c>
    </row>
    <row r="17" spans="1:6" x14ac:dyDescent="0.2">
      <c r="A17" t="s">
        <v>6203</v>
      </c>
      <c r="B17" t="s">
        <v>6206</v>
      </c>
      <c r="C17" s="7">
        <v>47.25</v>
      </c>
      <c r="D17" s="7">
        <v>65.805000000000007</v>
      </c>
      <c r="E17" s="7">
        <v>274.67500000000001</v>
      </c>
      <c r="F17" s="7">
        <v>179.22</v>
      </c>
    </row>
    <row r="18" spans="1:6" x14ac:dyDescent="0.2">
      <c r="B18" t="s">
        <v>6207</v>
      </c>
      <c r="C18" s="7">
        <v>745.44999999999993</v>
      </c>
      <c r="D18" s="7">
        <v>428.88499999999999</v>
      </c>
      <c r="E18" s="7">
        <v>194.17499999999998</v>
      </c>
      <c r="F18" s="7">
        <v>429.82999999999993</v>
      </c>
    </row>
    <row r="19" spans="1:6" x14ac:dyDescent="0.2">
      <c r="B19" t="s">
        <v>6208</v>
      </c>
      <c r="C19" s="7">
        <v>130.47</v>
      </c>
      <c r="D19" s="7">
        <v>271.48500000000001</v>
      </c>
      <c r="E19" s="7">
        <v>281.20499999999998</v>
      </c>
      <c r="F19" s="7">
        <v>231.63000000000002</v>
      </c>
    </row>
    <row r="20" spans="1:6" x14ac:dyDescent="0.2">
      <c r="B20" t="s">
        <v>6209</v>
      </c>
      <c r="C20" s="7">
        <v>27</v>
      </c>
      <c r="D20" s="7">
        <v>347.26</v>
      </c>
      <c r="E20" s="7">
        <v>147.51</v>
      </c>
      <c r="F20" s="7">
        <v>240.04</v>
      </c>
    </row>
    <row r="21" spans="1:6" x14ac:dyDescent="0.2">
      <c r="B21" t="s">
        <v>6210</v>
      </c>
      <c r="C21" s="7">
        <v>255.11499999999995</v>
      </c>
      <c r="D21" s="7">
        <v>541.73</v>
      </c>
      <c r="E21" s="7">
        <v>83.43</v>
      </c>
      <c r="F21" s="7">
        <v>59.079999999999991</v>
      </c>
    </row>
    <row r="22" spans="1:6" x14ac:dyDescent="0.2">
      <c r="B22" t="s">
        <v>6211</v>
      </c>
      <c r="C22" s="7">
        <v>584.78999999999985</v>
      </c>
      <c r="D22" s="7">
        <v>357.42999999999995</v>
      </c>
      <c r="E22" s="7">
        <v>355.34</v>
      </c>
      <c r="F22" s="7">
        <v>140.88</v>
      </c>
    </row>
    <row r="23" spans="1:6" x14ac:dyDescent="0.2">
      <c r="B23" t="s">
        <v>6212</v>
      </c>
      <c r="C23" s="7">
        <v>430.62</v>
      </c>
      <c r="D23" s="7">
        <v>227.42500000000001</v>
      </c>
      <c r="E23" s="7">
        <v>236.315</v>
      </c>
      <c r="F23" s="7">
        <v>414.58499999999992</v>
      </c>
    </row>
    <row r="24" spans="1:6" x14ac:dyDescent="0.2">
      <c r="B24" t="s">
        <v>6213</v>
      </c>
      <c r="C24" s="7">
        <v>22.5</v>
      </c>
      <c r="D24" s="7">
        <v>77.72</v>
      </c>
      <c r="E24" s="7">
        <v>60.5</v>
      </c>
      <c r="F24" s="7">
        <v>139.67999999999998</v>
      </c>
    </row>
    <row r="25" spans="1:6" x14ac:dyDescent="0.2">
      <c r="B25" t="s">
        <v>6214</v>
      </c>
      <c r="C25" s="7">
        <v>126.14999999999999</v>
      </c>
      <c r="D25" s="7">
        <v>195.11</v>
      </c>
      <c r="E25" s="7">
        <v>89.13</v>
      </c>
      <c r="F25" s="7">
        <v>302.65999999999997</v>
      </c>
    </row>
    <row r="26" spans="1:6" x14ac:dyDescent="0.2">
      <c r="B26" t="s">
        <v>6215</v>
      </c>
      <c r="C26" s="7">
        <v>376.03</v>
      </c>
      <c r="D26" s="7">
        <v>523.24</v>
      </c>
      <c r="E26" s="7">
        <v>440.96499999999997</v>
      </c>
      <c r="F26" s="7">
        <v>174.46999999999997</v>
      </c>
    </row>
    <row r="27" spans="1:6" x14ac:dyDescent="0.2">
      <c r="B27" t="s">
        <v>6216</v>
      </c>
      <c r="C27" s="7">
        <v>515.17999999999995</v>
      </c>
      <c r="D27" s="7">
        <v>142.56</v>
      </c>
      <c r="E27" s="7">
        <v>347.03999999999996</v>
      </c>
      <c r="F27" s="7">
        <v>104.08499999999999</v>
      </c>
    </row>
    <row r="28" spans="1:6" x14ac:dyDescent="0.2">
      <c r="B28" t="s">
        <v>6217</v>
      </c>
      <c r="C28" s="7">
        <v>95.859999999999985</v>
      </c>
      <c r="D28" s="7">
        <v>484.76</v>
      </c>
      <c r="E28" s="7">
        <v>94.17</v>
      </c>
      <c r="F28" s="7">
        <v>77.10499999999999</v>
      </c>
    </row>
    <row r="29" spans="1:6" x14ac:dyDescent="0.2">
      <c r="A29" t="s">
        <v>6204</v>
      </c>
      <c r="B29" t="s">
        <v>6206</v>
      </c>
      <c r="C29" s="7">
        <v>258.34500000000003</v>
      </c>
      <c r="D29" s="7">
        <v>139.625</v>
      </c>
      <c r="E29" s="7">
        <v>279.52000000000004</v>
      </c>
      <c r="F29" s="7">
        <v>160.19499999999999</v>
      </c>
    </row>
    <row r="30" spans="1:6" x14ac:dyDescent="0.2">
      <c r="B30" t="s">
        <v>6207</v>
      </c>
      <c r="C30" s="7">
        <v>342.2</v>
      </c>
      <c r="D30" s="7">
        <v>284.24999999999994</v>
      </c>
      <c r="E30" s="7">
        <v>251.83</v>
      </c>
      <c r="F30" s="7">
        <v>80.550000000000011</v>
      </c>
    </row>
    <row r="31" spans="1:6" x14ac:dyDescent="0.2">
      <c r="B31" t="s">
        <v>6208</v>
      </c>
      <c r="C31" s="7">
        <v>418.30499999999989</v>
      </c>
      <c r="D31" s="7">
        <v>468.125</v>
      </c>
      <c r="E31" s="7">
        <v>405.05500000000006</v>
      </c>
      <c r="F31" s="7">
        <v>253.15499999999997</v>
      </c>
    </row>
    <row r="32" spans="1:6" x14ac:dyDescent="0.2">
      <c r="B32" t="s">
        <v>6209</v>
      </c>
      <c r="C32" s="7">
        <v>102.32999999999998</v>
      </c>
      <c r="D32" s="7">
        <v>242.14000000000001</v>
      </c>
      <c r="E32" s="7">
        <v>554.875</v>
      </c>
      <c r="F32" s="7">
        <v>106.23999999999998</v>
      </c>
    </row>
    <row r="33" spans="1:21" x14ac:dyDescent="0.2">
      <c r="B33" t="s">
        <v>6210</v>
      </c>
      <c r="C33" s="7">
        <v>234.71999999999997</v>
      </c>
      <c r="D33" s="7">
        <v>133.08000000000001</v>
      </c>
      <c r="E33" s="7">
        <v>267.2</v>
      </c>
      <c r="F33" s="7">
        <v>272.68999999999994</v>
      </c>
      <c r="U33" s="8"/>
    </row>
    <row r="34" spans="1:21" x14ac:dyDescent="0.2">
      <c r="B34" t="s">
        <v>6211</v>
      </c>
      <c r="C34" s="7">
        <v>430.39</v>
      </c>
      <c r="D34" s="7">
        <v>136.20500000000001</v>
      </c>
      <c r="E34" s="7">
        <v>209.6</v>
      </c>
      <c r="F34" s="7">
        <v>88.334999999999994</v>
      </c>
    </row>
    <row r="35" spans="1:21" x14ac:dyDescent="0.2">
      <c r="B35" t="s">
        <v>6212</v>
      </c>
      <c r="C35" s="7">
        <v>109.005</v>
      </c>
      <c r="D35" s="7">
        <v>393.57499999999999</v>
      </c>
      <c r="E35" s="7">
        <v>61.034999999999997</v>
      </c>
      <c r="F35" s="7">
        <v>199.48999999999998</v>
      </c>
    </row>
    <row r="36" spans="1:21" x14ac:dyDescent="0.2">
      <c r="B36" t="s">
        <v>6213</v>
      </c>
      <c r="C36" s="7">
        <v>287.52499999999998</v>
      </c>
      <c r="D36" s="7">
        <v>288.67</v>
      </c>
      <c r="E36" s="7">
        <v>125.58</v>
      </c>
      <c r="F36" s="7">
        <v>374.13499999999999</v>
      </c>
    </row>
    <row r="37" spans="1:21" x14ac:dyDescent="0.2">
      <c r="B37" t="s">
        <v>6214</v>
      </c>
      <c r="C37" s="7">
        <v>840.92999999999984</v>
      </c>
      <c r="D37" s="7">
        <v>409.875</v>
      </c>
      <c r="E37" s="7">
        <v>171.32999999999998</v>
      </c>
      <c r="F37" s="7">
        <v>221.43999999999997</v>
      </c>
    </row>
    <row r="38" spans="1:21" x14ac:dyDescent="0.2">
      <c r="B38" t="s">
        <v>6215</v>
      </c>
      <c r="C38" s="7">
        <v>299.07</v>
      </c>
      <c r="D38" s="7">
        <v>260.32499999999999</v>
      </c>
      <c r="E38" s="7">
        <v>584.64</v>
      </c>
      <c r="F38" s="7">
        <v>256.36500000000001</v>
      </c>
    </row>
    <row r="39" spans="1:21" x14ac:dyDescent="0.2">
      <c r="B39" t="s">
        <v>6216</v>
      </c>
      <c r="C39" s="7">
        <v>323.32499999999999</v>
      </c>
      <c r="D39" s="7">
        <v>565.57000000000005</v>
      </c>
      <c r="E39" s="7">
        <v>537.80999999999995</v>
      </c>
      <c r="F39" s="7">
        <v>189.47499999999999</v>
      </c>
    </row>
    <row r="40" spans="1:21" x14ac:dyDescent="0.2">
      <c r="B40" t="s">
        <v>6217</v>
      </c>
      <c r="C40" s="7">
        <v>399.48499999999996</v>
      </c>
      <c r="D40" s="7">
        <v>148.19999999999999</v>
      </c>
      <c r="E40" s="7">
        <v>388.21999999999997</v>
      </c>
      <c r="F40" s="7">
        <v>212.07499999999999</v>
      </c>
    </row>
    <row r="41" spans="1:21" x14ac:dyDescent="0.2">
      <c r="A41" t="s">
        <v>6205</v>
      </c>
      <c r="B41" t="s">
        <v>6206</v>
      </c>
      <c r="C41" s="7">
        <v>112.69499999999999</v>
      </c>
      <c r="D41" s="7">
        <v>166.32</v>
      </c>
      <c r="E41" s="7">
        <v>843.71499999999992</v>
      </c>
      <c r="F41" s="7">
        <v>146.685</v>
      </c>
    </row>
    <row r="42" spans="1:21" x14ac:dyDescent="0.2">
      <c r="B42" t="s">
        <v>6207</v>
      </c>
      <c r="C42" s="7">
        <v>114.87999999999998</v>
      </c>
      <c r="D42" s="7">
        <v>133.815</v>
      </c>
      <c r="E42" s="7">
        <v>91.175000000000011</v>
      </c>
      <c r="F42" s="7">
        <v>53.759999999999991</v>
      </c>
    </row>
    <row r="43" spans="1:21" x14ac:dyDescent="0.2">
      <c r="B43" t="s">
        <v>6208</v>
      </c>
      <c r="C43" s="7">
        <v>277.76</v>
      </c>
      <c r="D43" s="7">
        <v>175.41</v>
      </c>
      <c r="E43" s="7">
        <v>462.50999999999993</v>
      </c>
      <c r="F43" s="7">
        <v>399.52499999999998</v>
      </c>
    </row>
    <row r="44" spans="1:21" x14ac:dyDescent="0.2">
      <c r="B44" t="s">
        <v>6209</v>
      </c>
      <c r="C44" s="7">
        <v>197.89499999999998</v>
      </c>
      <c r="D44" s="7">
        <v>289.755</v>
      </c>
      <c r="E44" s="7">
        <v>88.545000000000002</v>
      </c>
      <c r="F44" s="7">
        <v>200.25499999999997</v>
      </c>
    </row>
    <row r="45" spans="1:21" x14ac:dyDescent="0.2">
      <c r="B45" t="s">
        <v>6210</v>
      </c>
      <c r="C45" s="7">
        <v>193.11499999999998</v>
      </c>
      <c r="D45" s="7">
        <v>212.49499999999998</v>
      </c>
      <c r="E45" s="7">
        <v>292.29000000000002</v>
      </c>
      <c r="F45" s="7">
        <v>304.46999999999997</v>
      </c>
    </row>
    <row r="46" spans="1:21" x14ac:dyDescent="0.2">
      <c r="B46" t="s">
        <v>6211</v>
      </c>
      <c r="C46" s="7">
        <v>179.79</v>
      </c>
      <c r="D46" s="7">
        <v>426.2</v>
      </c>
      <c r="E46" s="7">
        <v>170.08999999999997</v>
      </c>
      <c r="F46" s="7">
        <v>379.31</v>
      </c>
    </row>
    <row r="47" spans="1:21" x14ac:dyDescent="0.2">
      <c r="B47" t="s">
        <v>6212</v>
      </c>
      <c r="C47" s="7">
        <v>247.28999999999996</v>
      </c>
      <c r="D47" s="7">
        <v>246.685</v>
      </c>
      <c r="E47" s="7">
        <v>271.05499999999995</v>
      </c>
      <c r="F47" s="7">
        <v>141.69999999999999</v>
      </c>
    </row>
    <row r="48" spans="1:21" x14ac:dyDescent="0.2">
      <c r="B48" t="s">
        <v>6213</v>
      </c>
      <c r="C48" s="7">
        <v>116.39499999999998</v>
      </c>
      <c r="D48" s="7">
        <v>41.25</v>
      </c>
      <c r="E48" s="7">
        <v>15.54</v>
      </c>
      <c r="F48"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codeName="Sheet3"/>
  <dimension ref="A1:P1001"/>
  <sheetViews>
    <sheetView topLeftCell="A573" zoomScale="115" zoomScaleNormal="115" workbookViewId="0">
      <selection activeCell="P3" sqref="P3"/>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33.83203125" bestFit="1" customWidth="1"/>
    <col min="8" max="8" width="11.1640625" bestFit="1" customWidth="1"/>
    <col min="9" max="9" width="12.5" customWidth="1"/>
    <col min="10" max="10" width="11.6640625" customWidth="1"/>
    <col min="11" max="11" width="6.1640625" customWidth="1"/>
    <col min="12" max="12" width="10.6640625" customWidth="1"/>
    <col min="13" max="13" width="8.5" bestFit="1" customWidth="1"/>
    <col min="14" max="14" width="16.5" customWidth="1"/>
    <col min="15" max="15" width="16.832031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6200</v>
      </c>
      <c r="O1" s="2" t="s">
        <v>6201</v>
      </c>
      <c r="P1" s="2" t="s">
        <v>6189</v>
      </c>
    </row>
    <row r="2" spans="1:16" x14ac:dyDescent="0.2">
      <c r="A2" s="2" t="s">
        <v>490</v>
      </c>
      <c r="B2" s="3">
        <v>43713</v>
      </c>
      <c r="C2" s="2" t="s">
        <v>491</v>
      </c>
      <c r="D2" t="s">
        <v>6138</v>
      </c>
      <c r="E2" s="2">
        <v>2</v>
      </c>
      <c r="F2" s="2" t="str">
        <f>_xlfn.XLOOKUP(C2,customers!$A$1:$A$1001,customers!$B$1:$B$1001,,)</f>
        <v>Aloisia Allner</v>
      </c>
      <c r="G2" s="2" t="str">
        <f>IF(_xlfn.XLOOKUP(C2,customers!$A$1:$A$1001,customers!$C$1:$C$1001,,0)=0,"",(_xlfn.XLOOKUP(C2,customers!$A$1:$A$1001,customers!$C$1:$C$1001,,0)))</f>
        <v>aallner0@lulu.com</v>
      </c>
      <c r="H2" s="2" t="str">
        <f>_xlfn.XLOOKUP(C2,customers!$A$1:$A$1001,customers!$G$1:$G$1001,,0)</f>
        <v>United States</v>
      </c>
      <c r="I2" t="str">
        <f>INDEX(products!$A$1:$G$49,MATCH($D2,products!$A$1:$A$49,0),MATCH(I$1,products!$A$1:$G$1,0))</f>
        <v>Rob</v>
      </c>
      <c r="J2" t="str" cm="1">
        <f t="array" ref="J2">INDEX(products!$B$2:$E$49,MATCH($D2,products!$A$2:$A$49,0),COLUMN(B1))</f>
        <v>M</v>
      </c>
      <c r="K2" s="4" cm="1">
        <f t="array" ref="K2">INDEX(products!$B$2:$E$49,MATCH($D2,products!$A$2:$A$49,0),COLUMN(C1))</f>
        <v>1</v>
      </c>
      <c r="L2" s="5" cm="1">
        <f t="array" ref="L2">INDEX(products!$B$2:$E$49,MATCH($D2,products!$A$2:$A$49,0),COLUMN(D1))</f>
        <v>9.9499999999999993</v>
      </c>
      <c r="M2" s="5">
        <f>E2*L2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f>
        <v>Aloisia Allner</v>
      </c>
      <c r="G3" s="2" t="str">
        <f>IF(_xlfn.XLOOKUP(C3,customers!$A$1:$A$1001,customers!$C$1:$C$1001,,0)=0,"",(_xlfn.XLOOKUP(C3,customers!$A$1:$A$1001,customers!$C$1:$C$1001,,0)))</f>
        <v>aallner0@lulu.com</v>
      </c>
      <c r="H3" s="2" t="str">
        <f>_xlfn.XLOOKUP(C3,customers!$A$1:$A$1001,customers!$G$1:$G$1001,,0)</f>
        <v>United States</v>
      </c>
      <c r="I3" t="str">
        <f>INDEX(products!$A$1:$G$49,MATCH($D3,products!$A$1:$A$49,0),MATCH(I$1,products!$A$1:$G$1,0))</f>
        <v>Exc</v>
      </c>
      <c r="J3" t="str" cm="1">
        <f t="array" ref="J3">INDEX(products!$B$2:$E$49,MATCH($D3,products!$A$2:$A$49,0),COLUMN(B2))</f>
        <v>M</v>
      </c>
      <c r="K3" s="4" cm="1">
        <f t="array" ref="K3">INDEX(products!$B$2:$E$49,MATCH($D3,products!$A$2:$A$49,0),COLUMN(C2))</f>
        <v>0.5</v>
      </c>
      <c r="L3" s="5" cm="1">
        <f t="array" ref="L3">INDEX(products!$B$2:$E$49,MATCH($D3,products!$A$2:$A$49,0),COLUMN(D2))</f>
        <v>8.25</v>
      </c>
      <c r="M3" s="5">
        <f t="shared" ref="M3:M66" si="0">E3*L3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f>
        <v>Jami Redholes</v>
      </c>
      <c r="G4" s="2" t="str">
        <f>IF(_xlfn.XLOOKUP(C4,customers!$A$1:$A$1001,customers!$C$1:$C$1001,,0)=0,"",(_xlfn.XLOOKUP(C4,customers!$A$1:$A$1001,customers!$C$1:$C$1001,,0)))</f>
        <v>jredholes2@tmall.com</v>
      </c>
      <c r="H4" s="2" t="str">
        <f>_xlfn.XLOOKUP(C4,customers!$A$1:$A$1001,customers!$G$1:$G$1001,,0)</f>
        <v>United States</v>
      </c>
      <c r="I4" t="str">
        <f>INDEX(products!$A$1:$G$49,MATCH($D4,products!$A$1:$A$49,0),MATCH(I$1,products!$A$1:$G$1,0))</f>
        <v>Ara</v>
      </c>
      <c r="J4" t="str" cm="1">
        <f t="array" ref="J4">INDEX(products!$B$2:$E$49,MATCH($D4,products!$A$2:$A$49,0),COLUMN(B3))</f>
        <v>L</v>
      </c>
      <c r="K4" s="4" cm="1">
        <f t="array" ref="K4">INDEX(products!$B$2:$E$49,MATCH($D4,products!$A$2:$A$49,0),COLUMN(C3))</f>
        <v>1</v>
      </c>
      <c r="L4" s="5" cm="1">
        <f t="array" ref="L4">INDEX(products!$B$2:$E$49,MATCH($D4,products!$A$2:$A$49,0),COLUMN(D3))</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f>
        <v>Christoffer O' Shea</v>
      </c>
      <c r="G5" s="2" t="str">
        <f>IF(_xlfn.XLOOKUP(C5,customers!$A$1:$A$1001,customers!$C$1:$C$1001,,0)=0,"",(_xlfn.XLOOKUP(C5,customers!$A$1:$A$1001,customers!$C$1:$C$1001,,0)))</f>
        <v/>
      </c>
      <c r="H5" s="2" t="str">
        <f>_xlfn.XLOOKUP(C5,customers!$A$1:$A$1001,customers!$G$1:$G$1001,,0)</f>
        <v>Ireland</v>
      </c>
      <c r="I5" t="str">
        <f>INDEX(products!$A$1:$G$49,MATCH($D5,products!$A$1:$A$49,0),MATCH(I$1,products!$A$1:$G$1,0))</f>
        <v>Exc</v>
      </c>
      <c r="J5" t="str" cm="1">
        <f t="array" ref="J5">INDEX(products!$B$2:$E$49,MATCH($D5,products!$A$2:$A$49,0),COLUMN(B4))</f>
        <v>M</v>
      </c>
      <c r="K5" s="4" cm="1">
        <f t="array" ref="K5">INDEX(products!$B$2:$E$49,MATCH($D5,products!$A$2:$A$49,0),COLUMN(C4))</f>
        <v>1</v>
      </c>
      <c r="L5" s="5" cm="1">
        <f t="array" ref="L5">INDEX(products!$B$2:$E$49,MATCH($D5,products!$A$2:$A$49,0),COLUMN(D4))</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f>
        <v>Christoffer O' Shea</v>
      </c>
      <c r="G6" s="2" t="str">
        <f>IF(_xlfn.XLOOKUP(C6,customers!$A$1:$A$1001,customers!$C$1:$C$1001,,0)=0,"",(_xlfn.XLOOKUP(C6,customers!$A$1:$A$1001,customers!$C$1:$C$1001,,0)))</f>
        <v/>
      </c>
      <c r="H6" s="2" t="str">
        <f>_xlfn.XLOOKUP(C6,customers!$A$1:$A$1001,customers!$G$1:$G$1001,,0)</f>
        <v>Ireland</v>
      </c>
      <c r="I6" t="str">
        <f>INDEX(products!$A$1:$G$49,MATCH($D6,products!$A$1:$A$49,0),MATCH(I$1,products!$A$1:$G$1,0))</f>
        <v>Rob</v>
      </c>
      <c r="J6" t="str" cm="1">
        <f t="array" ref="J6">INDEX(products!$B$2:$E$49,MATCH($D6,products!$A$2:$A$49,0),COLUMN(B5))</f>
        <v>L</v>
      </c>
      <c r="K6" s="4" cm="1">
        <f t="array" ref="K6">INDEX(products!$B$2:$E$49,MATCH($D6,products!$A$2:$A$49,0),COLUMN(C5))</f>
        <v>2.5</v>
      </c>
      <c r="L6" s="5" cm="1">
        <f t="array" ref="L6">INDEX(products!$B$2:$E$49,MATCH($D6,products!$A$2:$A$49,0),COLUMN(D5))</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f>
        <v>Beryle Cottier</v>
      </c>
      <c r="G7" s="2" t="str">
        <f>IF(_xlfn.XLOOKUP(C7,customers!$A$1:$A$1001,customers!$C$1:$C$1001,,0)=0,"",(_xlfn.XLOOKUP(C7,customers!$A$1:$A$1001,customers!$C$1:$C$1001,,0)))</f>
        <v/>
      </c>
      <c r="H7" s="2" t="str">
        <f>_xlfn.XLOOKUP(C7,customers!$A$1:$A$1001,customers!$G$1:$G$1001,,0)</f>
        <v>United States</v>
      </c>
      <c r="I7" t="str">
        <f>INDEX(products!$A$1:$G$49,MATCH($D7,products!$A$1:$A$49,0),MATCH(I$1,products!$A$1:$G$1,0))</f>
        <v>Lib</v>
      </c>
      <c r="J7" t="str" cm="1">
        <f t="array" ref="J7">INDEX(products!$B$2:$E$49,MATCH($D7,products!$A$2:$A$49,0),COLUMN(B6))</f>
        <v>D</v>
      </c>
      <c r="K7" s="4" cm="1">
        <f t="array" ref="K7">INDEX(products!$B$2:$E$49,MATCH($D7,products!$A$2:$A$49,0),COLUMN(C6))</f>
        <v>1</v>
      </c>
      <c r="L7" s="5" cm="1">
        <f t="array" ref="L7">INDEX(products!$B$2:$E$49,MATCH($D7,products!$A$2:$A$49,0),COLUMN(D6))</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f>
        <v>Shaylynn Lobe</v>
      </c>
      <c r="G8" s="2" t="str">
        <f>IF(_xlfn.XLOOKUP(C8,customers!$A$1:$A$1001,customers!$C$1:$C$1001,,0)=0,"",(_xlfn.XLOOKUP(C8,customers!$A$1:$A$1001,customers!$C$1:$C$1001,,0)))</f>
        <v>slobe6@nifty.com</v>
      </c>
      <c r="H8" s="2" t="str">
        <f>_xlfn.XLOOKUP(C8,customers!$A$1:$A$1001,customers!$G$1:$G$1001,,0)</f>
        <v>United States</v>
      </c>
      <c r="I8" t="str">
        <f>INDEX(products!$A$1:$G$49,MATCH($D8,products!$A$1:$A$49,0),MATCH(I$1,products!$A$1:$G$1,0))</f>
        <v>Exc</v>
      </c>
      <c r="J8" t="str" cm="1">
        <f t="array" ref="J8">INDEX(products!$B$2:$E$49,MATCH($D8,products!$A$2:$A$49,0),COLUMN(B7))</f>
        <v>D</v>
      </c>
      <c r="K8" s="4" cm="1">
        <f t="array" ref="K8">INDEX(products!$B$2:$E$49,MATCH($D8,products!$A$2:$A$49,0),COLUMN(C7))</f>
        <v>0.5</v>
      </c>
      <c r="L8" s="5" cm="1">
        <f t="array" ref="L8">INDEX(products!$B$2:$E$49,MATCH($D8,products!$A$2:$A$49,0),COLUMN(D7))</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f>
        <v>Melvin Wharfe</v>
      </c>
      <c r="G9" s="2" t="str">
        <f>IF(_xlfn.XLOOKUP(C9,customers!$A$1:$A$1001,customers!$C$1:$C$1001,,0)=0,"",(_xlfn.XLOOKUP(C9,customers!$A$1:$A$1001,customers!$C$1:$C$1001,,0)))</f>
        <v/>
      </c>
      <c r="H9" s="2" t="str">
        <f>_xlfn.XLOOKUP(C9,customers!$A$1:$A$1001,customers!$G$1:$G$1001,,0)</f>
        <v>Ireland</v>
      </c>
      <c r="I9" t="str">
        <f>INDEX(products!$A$1:$G$49,MATCH($D9,products!$A$1:$A$49,0),MATCH(I$1,products!$A$1:$G$1,0))</f>
        <v>Lib</v>
      </c>
      <c r="J9" t="str" cm="1">
        <f t="array" ref="J9">INDEX(products!$B$2:$E$49,MATCH($D9,products!$A$2:$A$49,0),COLUMN(B8))</f>
        <v>L</v>
      </c>
      <c r="K9" s="4" cm="1">
        <f t="array" ref="K9">INDEX(products!$B$2:$E$49,MATCH($D9,products!$A$2:$A$49,0),COLUMN(C8))</f>
        <v>0.2</v>
      </c>
      <c r="L9" s="5" cm="1">
        <f t="array" ref="L9">INDEX(products!$B$2:$E$49,MATCH($D9,products!$A$2:$A$49,0),COLUMN(D8))</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INDEX(products!$A$1:$G$49,MATCH($D10,products!$A$1:$A$49,0),MATCH(I$1,products!$A$1:$G$1,0))</f>
        <v>Rob</v>
      </c>
      <c r="J10" t="str" cm="1">
        <f t="array" ref="J10">INDEX(products!$B$2:$E$49,MATCH($D10,products!$A$2:$A$49,0),COLUMN(B9))</f>
        <v>M</v>
      </c>
      <c r="K10" s="4" cm="1">
        <f t="array" ref="K10">INDEX(products!$B$2:$E$49,MATCH($D10,products!$A$2:$A$49,0),COLUMN(C9))</f>
        <v>0.5</v>
      </c>
      <c r="L10" s="5" cm="1">
        <f t="array" ref="L10">INDEX(products!$B$2:$E$49,MATCH($D10,products!$A$2:$A$49,0),COLUMN(D9))</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f>
        <v>Rodger Raven</v>
      </c>
      <c r="G11" s="2" t="str">
        <f>IF(_xlfn.XLOOKUP(C11,customers!$A$1:$A$1001,customers!$C$1:$C$1001,,0)=0,"",(_xlfn.XLOOKUP(C11,customers!$A$1:$A$1001,customers!$C$1:$C$1001,,0)))</f>
        <v>rraven9@ed.gov</v>
      </c>
      <c r="H11" s="2" t="str">
        <f>_xlfn.XLOOKUP(C11,customers!$A$1:$A$1001,customers!$G$1:$G$1001,,0)</f>
        <v>United States</v>
      </c>
      <c r="I11" t="str">
        <f>INDEX(products!$A$1:$G$49,MATCH($D11,products!$A$1:$A$49,0),MATCH(I$1,products!$A$1:$G$1,0))</f>
        <v>Rob</v>
      </c>
      <c r="J11" t="str" cm="1">
        <f t="array" ref="J11">INDEX(products!$B$2:$E$49,MATCH($D11,products!$A$2:$A$49,0),COLUMN(B10))</f>
        <v>M</v>
      </c>
      <c r="K11" s="4" cm="1">
        <f t="array" ref="K11">INDEX(products!$B$2:$E$49,MATCH($D11,products!$A$2:$A$49,0),COLUMN(C10))</f>
        <v>0.5</v>
      </c>
      <c r="L11" s="5" cm="1">
        <f t="array" ref="L11">INDEX(products!$B$2:$E$49,MATCH($D11,products!$A$2:$A$49,0),COLUMN(D10))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INDEX(products!$A$1:$G$49,MATCH($D12,products!$A$1:$A$49,0),MATCH(I$1,products!$A$1:$G$1,0))</f>
        <v>Ara</v>
      </c>
      <c r="J12" t="str" cm="1">
        <f t="array" ref="J12">INDEX(products!$B$2:$E$49,MATCH($D12,products!$A$2:$A$49,0),COLUMN(B11))</f>
        <v>D</v>
      </c>
      <c r="K12" s="4" cm="1">
        <f t="array" ref="K12">INDEX(products!$B$2:$E$49,MATCH($D12,products!$A$2:$A$49,0),COLUMN(C11))</f>
        <v>1</v>
      </c>
      <c r="L12" s="5" cm="1">
        <f t="array" ref="L12">INDEX(products!$B$2:$E$49,MATCH($D12,products!$A$2:$A$49,0),COLUMN(D11))</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INDEX(products!$A$1:$G$49,MATCH($D13,products!$A$1:$A$49,0),MATCH(I$1,products!$A$1:$G$1,0))</f>
        <v>Exc</v>
      </c>
      <c r="J13" t="str" cm="1">
        <f t="array" ref="J13">INDEX(products!$B$2:$E$49,MATCH($D13,products!$A$2:$A$49,0),COLUMN(B12))</f>
        <v>L</v>
      </c>
      <c r="K13" s="4" cm="1">
        <f t="array" ref="K13">INDEX(products!$B$2:$E$49,MATCH($D13,products!$A$2:$A$49,0),COLUMN(C12))</f>
        <v>2.5</v>
      </c>
      <c r="L13" s="5" cm="1">
        <f t="array" ref="L13">INDEX(products!$B$2:$E$49,MATCH($D13,products!$A$2:$A$49,0),COLUMN(D12))</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INDEX(products!$A$1:$G$49,MATCH($D14,products!$A$1:$A$49,0),MATCH(I$1,products!$A$1:$G$1,0))</f>
        <v>Rob</v>
      </c>
      <c r="J14" t="str" cm="1">
        <f t="array" ref="J14">INDEX(products!$B$2:$E$49,MATCH($D14,products!$A$2:$A$49,0),COLUMN(B13))</f>
        <v>M</v>
      </c>
      <c r="K14" s="4" cm="1">
        <f t="array" ref="K14">INDEX(products!$B$2:$E$49,MATCH($D14,products!$A$2:$A$49,0),COLUMN(C13))</f>
        <v>1</v>
      </c>
      <c r="L14" s="5" cm="1">
        <f t="array" ref="L14">INDEX(products!$B$2:$E$49,MATCH($D14,products!$A$2:$A$49,0),COLUMN(D13))</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INDEX(products!$A$1:$G$49,MATCH($D15,products!$A$1:$A$49,0),MATCH(I$1,products!$A$1:$G$1,0))</f>
        <v>Rob</v>
      </c>
      <c r="J15" t="str" cm="1">
        <f t="array" ref="J15">INDEX(products!$B$2:$E$49,MATCH($D15,products!$A$2:$A$49,0),COLUMN(B14))</f>
        <v>D</v>
      </c>
      <c r="K15" s="4" cm="1">
        <f t="array" ref="K15">INDEX(products!$B$2:$E$49,MATCH($D15,products!$A$2:$A$49,0),COLUMN(C14))</f>
        <v>2.5</v>
      </c>
      <c r="L15" s="5" cm="1">
        <f t="array" ref="L15">INDEX(products!$B$2:$E$49,MATCH($D15,products!$A$2:$A$49,0),COLUMN(D14))</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INDEX(products!$A$1:$G$49,MATCH($D16,products!$A$1:$A$49,0),MATCH(I$1,products!$A$1:$G$1,0))</f>
        <v>Lib</v>
      </c>
      <c r="J16" t="str" cm="1">
        <f t="array" ref="J16">INDEX(products!$B$2:$E$49,MATCH($D16,products!$A$2:$A$49,0),COLUMN(B15))</f>
        <v>D</v>
      </c>
      <c r="K16" s="4" cm="1">
        <f t="array" ref="K16">INDEX(products!$B$2:$E$49,MATCH($D16,products!$A$2:$A$49,0),COLUMN(C15))</f>
        <v>0.2</v>
      </c>
      <c r="L16" s="5" cm="1">
        <f t="array" ref="L16">INDEX(products!$B$2:$E$49,MATCH($D16,products!$A$2:$A$49,0),COLUMN(D15))</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INDEX(products!$A$1:$G$49,MATCH($D17,products!$A$1:$A$49,0),MATCH(I$1,products!$A$1:$G$1,0))</f>
        <v>Rob</v>
      </c>
      <c r="J17" t="str" cm="1">
        <f t="array" ref="J17">INDEX(products!$B$2:$E$49,MATCH($D17,products!$A$2:$A$49,0),COLUMN(B16))</f>
        <v>M</v>
      </c>
      <c r="K17" s="4" cm="1">
        <f t="array" ref="K17">INDEX(products!$B$2:$E$49,MATCH($D17,products!$A$2:$A$49,0),COLUMN(C16))</f>
        <v>2.5</v>
      </c>
      <c r="L17" s="5" cm="1">
        <f t="array" ref="L17">INDEX(products!$B$2:$E$49,MATCH($D17,products!$A$2:$A$49,0),COLUMN(D16))</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INDEX(products!$A$1:$G$49,MATCH($D18,products!$A$1:$A$49,0),MATCH(I$1,products!$A$1:$G$1,0))</f>
        <v>Ara</v>
      </c>
      <c r="J18" t="str" cm="1">
        <f t="array" ref="J18">INDEX(products!$B$2:$E$49,MATCH($D18,products!$A$2:$A$49,0),COLUMN(B17))</f>
        <v>M</v>
      </c>
      <c r="K18" s="4" cm="1">
        <f t="array" ref="K18">INDEX(products!$B$2:$E$49,MATCH($D18,products!$A$2:$A$49,0),COLUMN(C17))</f>
        <v>0.2</v>
      </c>
      <c r="L18" s="5" cm="1">
        <f t="array" ref="L18">INDEX(products!$B$2:$E$49,MATCH($D18,products!$A$2:$A$49,0),COLUMN(D17))</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f>
        <v>Rhianon Broxup</v>
      </c>
      <c r="G19" s="2" t="str">
        <f>IF(_xlfn.XLOOKUP(C19,customers!$A$1:$A$1001,customers!$C$1:$C$1001,,0)=0,"",(_xlfn.XLOOKUP(C19,customers!$A$1:$A$1001,customers!$C$1:$C$1001,,0)))</f>
        <v>rbroxuph@jimdo.com</v>
      </c>
      <c r="H19" s="2" t="str">
        <f>_xlfn.XLOOKUP(C19,customers!$A$1:$A$1001,customers!$G$1:$G$1001,,0)</f>
        <v>United States</v>
      </c>
      <c r="I19" t="str">
        <f>INDEX(products!$A$1:$G$49,MATCH($D19,products!$A$1:$A$49,0),MATCH(I$1,products!$A$1:$G$1,0))</f>
        <v>Ara</v>
      </c>
      <c r="J19" t="str" cm="1">
        <f t="array" ref="J19">INDEX(products!$B$2:$E$49,MATCH($D19,products!$A$2:$A$49,0),COLUMN(B18))</f>
        <v>L</v>
      </c>
      <c r="K19" s="4" cm="1">
        <f t="array" ref="K19">INDEX(products!$B$2:$E$49,MATCH($D19,products!$A$2:$A$49,0),COLUMN(C18))</f>
        <v>1</v>
      </c>
      <c r="L19" s="5" cm="1">
        <f t="array" ref="L19">INDEX(products!$B$2:$E$49,MATCH($D19,products!$A$2:$A$49,0),COLUMN(D18))</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f>
        <v>Pall Redford</v>
      </c>
      <c r="G20" s="2" t="str">
        <f>IF(_xlfn.XLOOKUP(C20,customers!$A$1:$A$1001,customers!$C$1:$C$1001,,0)=0,"",(_xlfn.XLOOKUP(C20,customers!$A$1:$A$1001,customers!$C$1:$C$1001,,0)))</f>
        <v>predfordi@ow.ly</v>
      </c>
      <c r="H20" s="2" t="str">
        <f>_xlfn.XLOOKUP(C20,customers!$A$1:$A$1001,customers!$G$1:$G$1001,,0)</f>
        <v>Ireland</v>
      </c>
      <c r="I20" t="str">
        <f>INDEX(products!$A$1:$G$49,MATCH($D20,products!$A$1:$A$49,0),MATCH(I$1,products!$A$1:$G$1,0))</f>
        <v>Rob</v>
      </c>
      <c r="J20" t="str" cm="1">
        <f t="array" ref="J20">INDEX(products!$B$2:$E$49,MATCH($D20,products!$A$2:$A$49,0),COLUMN(B19))</f>
        <v>D</v>
      </c>
      <c r="K20" s="4" cm="1">
        <f t="array" ref="K20">INDEX(products!$B$2:$E$49,MATCH($D20,products!$A$2:$A$49,0),COLUMN(C19))</f>
        <v>2.5</v>
      </c>
      <c r="L20" s="5" cm="1">
        <f t="array" ref="L20">INDEX(products!$B$2:$E$49,MATCH($D20,products!$A$2:$A$49,0),COLUMN(D19))</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INDEX(products!$A$1:$G$49,MATCH($D21,products!$A$1:$A$49,0),MATCH(I$1,products!$A$1:$G$1,0))</f>
        <v>Ara</v>
      </c>
      <c r="J21" t="str" cm="1">
        <f t="array" ref="J21">INDEX(products!$B$2:$E$49,MATCH($D21,products!$A$2:$A$49,0),COLUMN(B20))</f>
        <v>M</v>
      </c>
      <c r="K21" s="4" cm="1">
        <f t="array" ref="K21">INDEX(products!$B$2:$E$49,MATCH($D21,products!$A$2:$A$49,0),COLUMN(C20))</f>
        <v>0.2</v>
      </c>
      <c r="L21" s="5" cm="1">
        <f t="array" ref="L21">INDEX(products!$B$2:$E$49,MATCH($D21,products!$A$2:$A$49,0),COLUMN(D20))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INDEX(products!$A$1:$G$49,MATCH($D22,products!$A$1:$A$49,0),MATCH(I$1,products!$A$1:$G$1,0))</f>
        <v>Exc</v>
      </c>
      <c r="J22" t="str" cm="1">
        <f t="array" ref="J22">INDEX(products!$B$2:$E$49,MATCH($D22,products!$A$2:$A$49,0),COLUMN(B21))</f>
        <v>D</v>
      </c>
      <c r="K22" s="4" cm="1">
        <f t="array" ref="K22">INDEX(products!$B$2:$E$49,MATCH($D22,products!$A$2:$A$49,0),COLUMN(C21))</f>
        <v>0.2</v>
      </c>
      <c r="L22" s="5" cm="1">
        <f t="array" ref="L22">INDEX(products!$B$2:$E$49,MATCH($D22,products!$A$2:$A$49,0),COLUMN(D21))</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INDEX(products!$A$1:$G$49,MATCH($D23,products!$A$1:$A$49,0),MATCH(I$1,products!$A$1:$G$1,0))</f>
        <v>Ara</v>
      </c>
      <c r="J23" t="str" cm="1">
        <f t="array" ref="J23">INDEX(products!$B$2:$E$49,MATCH($D23,products!$A$2:$A$49,0),COLUMN(B22))</f>
        <v>D</v>
      </c>
      <c r="K23" s="4" cm="1">
        <f t="array" ref="K23">INDEX(products!$B$2:$E$49,MATCH($D23,products!$A$2:$A$49,0),COLUMN(C22))</f>
        <v>0.2</v>
      </c>
      <c r="L23" s="5" cm="1">
        <f t="array" ref="L23">INDEX(products!$B$2:$E$49,MATCH($D23,products!$A$2:$A$49,0),COLUMN(D22))</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INDEX(products!$A$1:$G$49,MATCH($D24,products!$A$1:$A$49,0),MATCH(I$1,products!$A$1:$G$1,0))</f>
        <v>Rob</v>
      </c>
      <c r="J24" t="str" cm="1">
        <f t="array" ref="J24">INDEX(products!$B$2:$E$49,MATCH($D24,products!$A$2:$A$49,0),COLUMN(B23))</f>
        <v>M</v>
      </c>
      <c r="K24" s="4" cm="1">
        <f t="array" ref="K24">INDEX(products!$B$2:$E$49,MATCH($D24,products!$A$2:$A$49,0),COLUMN(C23))</f>
        <v>2.5</v>
      </c>
      <c r="L24" s="5" cm="1">
        <f t="array" ref="L24">INDEX(products!$B$2:$E$49,MATCH($D24,products!$A$2:$A$49,0),COLUMN(D23))</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INDEX(products!$A$1:$G$49,MATCH($D25,products!$A$1:$A$49,0),MATCH(I$1,products!$A$1:$G$1,0))</f>
        <v>Ara</v>
      </c>
      <c r="J25" t="str" cm="1">
        <f t="array" ref="J25">INDEX(products!$B$2:$E$49,MATCH($D25,products!$A$2:$A$49,0),COLUMN(B24))</f>
        <v>D</v>
      </c>
      <c r="K25" s="4" cm="1">
        <f t="array" ref="K25">INDEX(products!$B$2:$E$49,MATCH($D25,products!$A$2:$A$49,0),COLUMN(C24))</f>
        <v>0.2</v>
      </c>
      <c r="L25" s="5" cm="1">
        <f t="array" ref="L25">INDEX(products!$B$2:$E$49,MATCH($D25,products!$A$2:$A$49,0),COLUMN(D24))</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INDEX(products!$A$1:$G$49,MATCH($D26,products!$A$1:$A$49,0),MATCH(I$1,products!$A$1:$G$1,0))</f>
        <v>Ara</v>
      </c>
      <c r="J26" t="str" cm="1">
        <f t="array" ref="J26">INDEX(products!$B$2:$E$49,MATCH($D26,products!$A$2:$A$49,0),COLUMN(B25))</f>
        <v>M</v>
      </c>
      <c r="K26" s="4" cm="1">
        <f t="array" ref="K26">INDEX(products!$B$2:$E$49,MATCH($D26,products!$A$2:$A$49,0),COLUMN(C25))</f>
        <v>1</v>
      </c>
      <c r="L26" s="5" cm="1">
        <f t="array" ref="L26">INDEX(products!$B$2:$E$49,MATCH($D26,products!$A$2:$A$49,0),COLUMN(D25))</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f>
        <v>Culley Farris</v>
      </c>
      <c r="G27" s="2" t="str">
        <f>IF(_xlfn.XLOOKUP(C27,customers!$A$1:$A$1001,customers!$C$1:$C$1001,,0)=0,"",(_xlfn.XLOOKUP(C27,customers!$A$1:$A$1001,customers!$C$1:$C$1001,,0)))</f>
        <v/>
      </c>
      <c r="H27" s="2" t="str">
        <f>_xlfn.XLOOKUP(C27,customers!$A$1:$A$1001,customers!$G$1:$G$1001,,0)</f>
        <v>United States</v>
      </c>
      <c r="I27" t="str">
        <f>INDEX(products!$A$1:$G$49,MATCH($D27,products!$A$1:$A$49,0),MATCH(I$1,products!$A$1:$G$1,0))</f>
        <v>Exc</v>
      </c>
      <c r="J27" t="str" cm="1">
        <f t="array" ref="J27">INDEX(products!$B$2:$E$49,MATCH($D27,products!$A$2:$A$49,0),COLUMN(B26))</f>
        <v>M</v>
      </c>
      <c r="K27" s="4" cm="1">
        <f t="array" ref="K27">INDEX(products!$B$2:$E$49,MATCH($D27,products!$A$2:$A$49,0),COLUMN(C26))</f>
        <v>0.2</v>
      </c>
      <c r="L27" s="5" cm="1">
        <f t="array" ref="L27">INDEX(products!$B$2:$E$49,MATCH($D27,products!$A$2:$A$49,0),COLUMN(D26))</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f>
        <v>Selene Shales</v>
      </c>
      <c r="G28" s="2" t="str">
        <f>IF(_xlfn.XLOOKUP(C28,customers!$A$1:$A$1001,customers!$C$1:$C$1001,,0)=0,"",(_xlfn.XLOOKUP(C28,customers!$A$1:$A$1001,customers!$C$1:$C$1001,,0)))</f>
        <v>sshalesq@umich.edu</v>
      </c>
      <c r="H28" s="2" t="str">
        <f>_xlfn.XLOOKUP(C28,customers!$A$1:$A$1001,customers!$G$1:$G$1001,,0)</f>
        <v>United States</v>
      </c>
      <c r="I28" t="str">
        <f>INDEX(products!$A$1:$G$49,MATCH($D28,products!$A$1:$A$49,0),MATCH(I$1,products!$A$1:$G$1,0))</f>
        <v>Ara</v>
      </c>
      <c r="J28" t="str" cm="1">
        <f t="array" ref="J28">INDEX(products!$B$2:$E$49,MATCH($D28,products!$A$2:$A$49,0),COLUMN(B27))</f>
        <v>M</v>
      </c>
      <c r="K28" s="4" cm="1">
        <f t="array" ref="K28">INDEX(products!$B$2:$E$49,MATCH($D28,products!$A$2:$A$49,0),COLUMN(C27))</f>
        <v>0.5</v>
      </c>
      <c r="L28" s="5" cm="1">
        <f t="array" ref="L28">INDEX(products!$B$2:$E$49,MATCH($D28,products!$A$2:$A$49,0),COLUMN(D27))</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f>
        <v>Vivie Danneil</v>
      </c>
      <c r="G29" s="2" t="str">
        <f>IF(_xlfn.XLOOKUP(C29,customers!$A$1:$A$1001,customers!$C$1:$C$1001,,0)=0,"",(_xlfn.XLOOKUP(C29,customers!$A$1:$A$1001,customers!$C$1:$C$1001,,0)))</f>
        <v>vdanneilr@mtv.com</v>
      </c>
      <c r="H29" s="2" t="str">
        <f>_xlfn.XLOOKUP(C29,customers!$A$1:$A$1001,customers!$G$1:$G$1001,,0)</f>
        <v>Ireland</v>
      </c>
      <c r="I29" t="str">
        <f>INDEX(products!$A$1:$G$49,MATCH($D29,products!$A$1:$A$49,0),MATCH(I$1,products!$A$1:$G$1,0))</f>
        <v>Ara</v>
      </c>
      <c r="J29" t="str" cm="1">
        <f t="array" ref="J29">INDEX(products!$B$2:$E$49,MATCH($D29,products!$A$2:$A$49,0),COLUMN(B28))</f>
        <v>M</v>
      </c>
      <c r="K29" s="4" cm="1">
        <f t="array" ref="K29">INDEX(products!$B$2:$E$49,MATCH($D29,products!$A$2:$A$49,0),COLUMN(C28))</f>
        <v>0.2</v>
      </c>
      <c r="L29" s="5" cm="1">
        <f t="array" ref="L29">INDEX(products!$B$2:$E$49,MATCH($D29,products!$A$2:$A$49,0),COLUMN(D28))</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f>
        <v>Theresita Newbury</v>
      </c>
      <c r="G30" s="2" t="str">
        <f>IF(_xlfn.XLOOKUP(C30,customers!$A$1:$A$1001,customers!$C$1:$C$1001,,0)=0,"",(_xlfn.XLOOKUP(C30,customers!$A$1:$A$1001,customers!$C$1:$C$1001,,0)))</f>
        <v>tnewburys@usda.gov</v>
      </c>
      <c r="H30" s="2" t="str">
        <f>_xlfn.XLOOKUP(C30,customers!$A$1:$A$1001,customers!$G$1:$G$1001,,0)</f>
        <v>Ireland</v>
      </c>
      <c r="I30" t="str">
        <f>INDEX(products!$A$1:$G$49,MATCH($D30,products!$A$1:$A$49,0),MATCH(I$1,products!$A$1:$G$1,0))</f>
        <v>Ara</v>
      </c>
      <c r="J30" t="str" cm="1">
        <f t="array" ref="J30">INDEX(products!$B$2:$E$49,MATCH($D30,products!$A$2:$A$49,0),COLUMN(B29))</f>
        <v>D</v>
      </c>
      <c r="K30" s="4" cm="1">
        <f t="array" ref="K30">INDEX(products!$B$2:$E$49,MATCH($D30,products!$A$2:$A$49,0),COLUMN(C29))</f>
        <v>0.5</v>
      </c>
      <c r="L30" s="5" cm="1">
        <f t="array" ref="L30">INDEX(products!$B$2:$E$49,MATCH($D30,products!$A$2:$A$49,0),COLUMN(D29))</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f>
        <v>Mozelle Calcutt</v>
      </c>
      <c r="G31" s="2" t="str">
        <f>IF(_xlfn.XLOOKUP(C31,customers!$A$1:$A$1001,customers!$C$1:$C$1001,,0)=0,"",(_xlfn.XLOOKUP(C31,customers!$A$1:$A$1001,customers!$C$1:$C$1001,,0)))</f>
        <v>mcalcuttt@baidu.com</v>
      </c>
      <c r="H31" s="2" t="str">
        <f>_xlfn.XLOOKUP(C31,customers!$A$1:$A$1001,customers!$G$1:$G$1001,,0)</f>
        <v>Ireland</v>
      </c>
      <c r="I31" t="str">
        <f>INDEX(products!$A$1:$G$49,MATCH($D31,products!$A$1:$A$49,0),MATCH(I$1,products!$A$1:$G$1,0))</f>
        <v>Ara</v>
      </c>
      <c r="J31" t="str" cm="1">
        <f t="array" ref="J31">INDEX(products!$B$2:$E$49,MATCH($D31,products!$A$2:$A$49,0),COLUMN(B30))</f>
        <v>D</v>
      </c>
      <c r="K31" s="4" cm="1">
        <f t="array" ref="K31">INDEX(products!$B$2:$E$49,MATCH($D31,products!$A$2:$A$49,0),COLUMN(C30))</f>
        <v>1</v>
      </c>
      <c r="L31" s="5" cm="1">
        <f t="array" ref="L31">INDEX(products!$B$2:$E$49,MATCH($D31,products!$A$2:$A$49,0),COLUMN(D30))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f>
        <v>Adrian Swaine</v>
      </c>
      <c r="G32" s="2" t="str">
        <f>IF(_xlfn.XLOOKUP(C32,customers!$A$1:$A$1001,customers!$C$1:$C$1001,,0)=0,"",(_xlfn.XLOOKUP(C32,customers!$A$1:$A$1001,customers!$C$1:$C$1001,,0)))</f>
        <v/>
      </c>
      <c r="H32" s="2" t="str">
        <f>_xlfn.XLOOKUP(C32,customers!$A$1:$A$1001,customers!$G$1:$G$1001,,0)</f>
        <v>United States</v>
      </c>
      <c r="I32" t="str">
        <f>INDEX(products!$A$1:$G$49,MATCH($D32,products!$A$1:$A$49,0),MATCH(I$1,products!$A$1:$G$1,0))</f>
        <v>Lib</v>
      </c>
      <c r="J32" t="str" cm="1">
        <f t="array" ref="J32">INDEX(products!$B$2:$E$49,MATCH($D32,products!$A$2:$A$49,0),COLUMN(B31))</f>
        <v>M</v>
      </c>
      <c r="K32" s="4" cm="1">
        <f t="array" ref="K32">INDEX(products!$B$2:$E$49,MATCH($D32,products!$A$2:$A$49,0),COLUMN(C31))</f>
        <v>0.2</v>
      </c>
      <c r="L32" s="5" cm="1">
        <f t="array" ref="L32">INDEX(products!$B$2:$E$49,MATCH($D32,products!$A$2:$A$49,0),COLUMN(D31))</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f>
        <v>Adrian Swaine</v>
      </c>
      <c r="G33" s="2" t="str">
        <f>IF(_xlfn.XLOOKUP(C33,customers!$A$1:$A$1001,customers!$C$1:$C$1001,,0)=0,"",(_xlfn.XLOOKUP(C33,customers!$A$1:$A$1001,customers!$C$1:$C$1001,,0)))</f>
        <v/>
      </c>
      <c r="H33" s="2" t="str">
        <f>_xlfn.XLOOKUP(C33,customers!$A$1:$A$1001,customers!$G$1:$G$1001,,0)</f>
        <v>United States</v>
      </c>
      <c r="I33" t="str">
        <f>INDEX(products!$A$1:$G$49,MATCH($D33,products!$A$1:$A$49,0),MATCH(I$1,products!$A$1:$G$1,0))</f>
        <v>Ara</v>
      </c>
      <c r="J33" t="str" cm="1">
        <f t="array" ref="J33">INDEX(products!$B$2:$E$49,MATCH($D33,products!$A$2:$A$49,0),COLUMN(B32))</f>
        <v>D</v>
      </c>
      <c r="K33" s="4" cm="1">
        <f t="array" ref="K33">INDEX(products!$B$2:$E$49,MATCH($D33,products!$A$2:$A$49,0),COLUMN(C32))</f>
        <v>0.5</v>
      </c>
      <c r="L33" s="5" cm="1">
        <f t="array" ref="L33">INDEX(products!$B$2:$E$49,MATCH($D33,products!$A$2:$A$49,0),COLUMN(D32))</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f>
        <v>Adrian Swaine</v>
      </c>
      <c r="G34" s="2" t="str">
        <f>IF(_xlfn.XLOOKUP(C34,customers!$A$1:$A$1001,customers!$C$1:$C$1001,,0)=0,"",(_xlfn.XLOOKUP(C34,customers!$A$1:$A$1001,customers!$C$1:$C$1001,,0)))</f>
        <v/>
      </c>
      <c r="H34" s="2" t="str">
        <f>_xlfn.XLOOKUP(C34,customers!$A$1:$A$1001,customers!$G$1:$G$1001,,0)</f>
        <v>United States</v>
      </c>
      <c r="I34" t="str">
        <f>INDEX(products!$A$1:$G$49,MATCH($D34,products!$A$1:$A$49,0),MATCH(I$1,products!$A$1:$G$1,0))</f>
        <v>Lib</v>
      </c>
      <c r="J34" t="str" cm="1">
        <f t="array" ref="J34">INDEX(products!$B$2:$E$49,MATCH($D34,products!$A$2:$A$49,0),COLUMN(B33))</f>
        <v>M</v>
      </c>
      <c r="K34" s="4" cm="1">
        <f t="array" ref="K34">INDEX(products!$B$2:$E$49,MATCH($D34,products!$A$2:$A$49,0),COLUMN(C33))</f>
        <v>0.5</v>
      </c>
      <c r="L34" s="5" cm="1">
        <f t="array" ref="L34">INDEX(products!$B$2:$E$49,MATCH($D34,products!$A$2:$A$49,0),COLUMN(D33))</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INDEX(products!$A$1:$G$49,MATCH($D35,products!$A$1:$A$49,0),MATCH(I$1,products!$A$1:$G$1,0))</f>
        <v>Lib</v>
      </c>
      <c r="J35" t="str" cm="1">
        <f t="array" ref="J35">INDEX(products!$B$2:$E$49,MATCH($D35,products!$A$2:$A$49,0),COLUMN(B34))</f>
        <v>L</v>
      </c>
      <c r="K35" s="4" cm="1">
        <f t="array" ref="K35">INDEX(products!$B$2:$E$49,MATCH($D35,products!$A$2:$A$49,0),COLUMN(C34))</f>
        <v>0.2</v>
      </c>
      <c r="L35" s="5" cm="1">
        <f t="array" ref="L35">INDEX(products!$B$2:$E$49,MATCH($D35,products!$A$2:$A$49,0),COLUMN(D34))</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INDEX(products!$A$1:$G$49,MATCH($D36,products!$A$1:$A$49,0),MATCH(I$1,products!$A$1:$G$1,0))</f>
        <v>Lib</v>
      </c>
      <c r="J36" t="str" cm="1">
        <f t="array" ref="J36">INDEX(products!$B$2:$E$49,MATCH($D36,products!$A$2:$A$49,0),COLUMN(B35))</f>
        <v>L</v>
      </c>
      <c r="K36" s="4" cm="1">
        <f t="array" ref="K36">INDEX(products!$B$2:$E$49,MATCH($D36,products!$A$2:$A$49,0),COLUMN(C35))</f>
        <v>0.5</v>
      </c>
      <c r="L36" s="5" cm="1">
        <f t="array" ref="L36">INDEX(products!$B$2:$E$49,MATCH($D36,products!$A$2:$A$49,0),COLUMN(D35))</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f>
        <v>Faber Eilhart</v>
      </c>
      <c r="G37" s="2" t="str">
        <f>IF(_xlfn.XLOOKUP(C37,customers!$A$1:$A$1001,customers!$C$1:$C$1001,,0)=0,"",(_xlfn.XLOOKUP(C37,customers!$A$1:$A$1001,customers!$C$1:$C$1001,,0)))</f>
        <v>feilhartz@who.int</v>
      </c>
      <c r="H37" s="2" t="str">
        <f>_xlfn.XLOOKUP(C37,customers!$A$1:$A$1001,customers!$G$1:$G$1001,,0)</f>
        <v>United States</v>
      </c>
      <c r="I37" t="str">
        <f>INDEX(products!$A$1:$G$49,MATCH($D37,products!$A$1:$A$49,0),MATCH(I$1,products!$A$1:$G$1,0))</f>
        <v>Ara</v>
      </c>
      <c r="J37" t="str" cm="1">
        <f t="array" ref="J37">INDEX(products!$B$2:$E$49,MATCH($D37,products!$A$2:$A$49,0),COLUMN(B36))</f>
        <v>D</v>
      </c>
      <c r="K37" s="4" cm="1">
        <f t="array" ref="K37">INDEX(products!$B$2:$E$49,MATCH($D37,products!$A$2:$A$49,0),COLUMN(C36))</f>
        <v>0.5</v>
      </c>
      <c r="L37" s="5" cm="1">
        <f t="array" ref="L37">INDEX(products!$B$2:$E$49,MATCH($D37,products!$A$2:$A$49,0),COLUMN(D36))</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INDEX(products!$A$1:$G$49,MATCH($D38,products!$A$1:$A$49,0),MATCH(I$1,products!$A$1:$G$1,0))</f>
        <v>Lib</v>
      </c>
      <c r="J38" t="str" cm="1">
        <f t="array" ref="J38">INDEX(products!$B$2:$E$49,MATCH($D38,products!$A$2:$A$49,0),COLUMN(B37))</f>
        <v>M</v>
      </c>
      <c r="K38" s="4" cm="1">
        <f t="array" ref="K38">INDEX(products!$B$2:$E$49,MATCH($D38,products!$A$2:$A$49,0),COLUMN(C37))</f>
        <v>0.2</v>
      </c>
      <c r="L38" s="5" cm="1">
        <f t="array" ref="L38">INDEX(products!$B$2:$E$49,MATCH($D38,products!$A$2:$A$49,0),COLUMN(D37))</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INDEX(products!$A$1:$G$49,MATCH($D39,products!$A$1:$A$49,0),MATCH(I$1,products!$A$1:$G$1,0))</f>
        <v>Lib</v>
      </c>
      <c r="J39" t="str" cm="1">
        <f t="array" ref="J39">INDEX(products!$B$2:$E$49,MATCH($D39,products!$A$2:$A$49,0),COLUMN(B38))</f>
        <v>L</v>
      </c>
      <c r="K39" s="4" cm="1">
        <f t="array" ref="K39">INDEX(products!$B$2:$E$49,MATCH($D39,products!$A$2:$A$49,0),COLUMN(C38))</f>
        <v>0.5</v>
      </c>
      <c r="L39" s="5" cm="1">
        <f t="array" ref="L39">INDEX(products!$B$2:$E$49,MATCH($D39,products!$A$2:$A$49,0),COLUMN(D38))</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INDEX(products!$A$1:$G$49,MATCH($D40,products!$A$1:$A$49,0),MATCH(I$1,products!$A$1:$G$1,0))</f>
        <v>Rob</v>
      </c>
      <c r="J40" t="str" cm="1">
        <f t="array" ref="J40">INDEX(products!$B$2:$E$49,MATCH($D40,products!$A$2:$A$49,0),COLUMN(B39))</f>
        <v>M</v>
      </c>
      <c r="K40" s="4" cm="1">
        <f t="array" ref="K40">INDEX(products!$B$2:$E$49,MATCH($D40,products!$A$2:$A$49,0),COLUMN(C39))</f>
        <v>2.5</v>
      </c>
      <c r="L40" s="5" cm="1">
        <f t="array" ref="L40">INDEX(products!$B$2:$E$49,MATCH($D40,products!$A$2:$A$49,0),COLUMN(D39))</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f>
        <v>Hy Zanetto</v>
      </c>
      <c r="G41" s="2" t="str">
        <f>IF(_xlfn.XLOOKUP(C41,customers!$A$1:$A$1001,customers!$C$1:$C$1001,,0)=0,"",(_xlfn.XLOOKUP(C41,customers!$A$1:$A$1001,customers!$C$1:$C$1001,,0)))</f>
        <v/>
      </c>
      <c r="H41" s="2" t="str">
        <f>_xlfn.XLOOKUP(C41,customers!$A$1:$A$1001,customers!$G$1:$G$1001,,0)</f>
        <v>United States</v>
      </c>
      <c r="I41" t="str">
        <f>INDEX(products!$A$1:$G$49,MATCH($D41,products!$A$1:$A$49,0),MATCH(I$1,products!$A$1:$G$1,0))</f>
        <v>Rob</v>
      </c>
      <c r="J41" t="str" cm="1">
        <f t="array" ref="J41">INDEX(products!$B$2:$E$49,MATCH($D41,products!$A$2:$A$49,0),COLUMN(B40))</f>
        <v>M</v>
      </c>
      <c r="K41" s="4" cm="1">
        <f t="array" ref="K41">INDEX(products!$B$2:$E$49,MATCH($D41,products!$A$2:$A$49,0),COLUMN(C40))</f>
        <v>1</v>
      </c>
      <c r="L41" s="5" cm="1">
        <f t="array" ref="L41">INDEX(products!$B$2:$E$49,MATCH($D41,products!$A$2:$A$49,0),COLUMN(D40))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f>
        <v>Jessica McNess</v>
      </c>
      <c r="G42" s="2" t="str">
        <f>IF(_xlfn.XLOOKUP(C42,customers!$A$1:$A$1001,customers!$C$1:$C$1001,,0)=0,"",(_xlfn.XLOOKUP(C42,customers!$A$1:$A$1001,customers!$C$1:$C$1001,,0)))</f>
        <v/>
      </c>
      <c r="H42" s="2" t="str">
        <f>_xlfn.XLOOKUP(C42,customers!$A$1:$A$1001,customers!$G$1:$G$1001,,0)</f>
        <v>United States</v>
      </c>
      <c r="I42" t="str">
        <f>INDEX(products!$A$1:$G$49,MATCH($D42,products!$A$1:$A$49,0),MATCH(I$1,products!$A$1:$G$1,0))</f>
        <v>Lib</v>
      </c>
      <c r="J42" t="str" cm="1">
        <f t="array" ref="J42">INDEX(products!$B$2:$E$49,MATCH($D42,products!$A$2:$A$49,0),COLUMN(B41))</f>
        <v>M</v>
      </c>
      <c r="K42" s="4" cm="1">
        <f t="array" ref="K42">INDEX(products!$B$2:$E$49,MATCH($D42,products!$A$2:$A$49,0),COLUMN(C41))</f>
        <v>1</v>
      </c>
      <c r="L42" s="5" cm="1">
        <f t="array" ref="L42">INDEX(products!$B$2:$E$49,MATCH($D42,products!$A$2:$A$49,0),COLUMN(D41))</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INDEX(products!$A$1:$G$49,MATCH($D43,products!$A$1:$A$49,0),MATCH(I$1,products!$A$1:$G$1,0))</f>
        <v>Exc</v>
      </c>
      <c r="J43" t="str" cm="1">
        <f t="array" ref="J43">INDEX(products!$B$2:$E$49,MATCH($D43,products!$A$2:$A$49,0),COLUMN(B42))</f>
        <v>D</v>
      </c>
      <c r="K43" s="4" cm="1">
        <f t="array" ref="K43">INDEX(products!$B$2:$E$49,MATCH($D43,products!$A$2:$A$49,0),COLUMN(C42))</f>
        <v>0.2</v>
      </c>
      <c r="L43" s="5" cm="1">
        <f t="array" ref="L43">INDEX(products!$B$2:$E$49,MATCH($D43,products!$A$2:$A$49,0),COLUMN(D42))</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INDEX(products!$A$1:$G$49,MATCH($D44,products!$A$1:$A$49,0),MATCH(I$1,products!$A$1:$G$1,0))</f>
        <v>Rob</v>
      </c>
      <c r="J44" t="str" cm="1">
        <f t="array" ref="J44">INDEX(products!$B$2:$E$49,MATCH($D44,products!$A$2:$A$49,0),COLUMN(B43))</f>
        <v>D</v>
      </c>
      <c r="K44" s="4" cm="1">
        <f t="array" ref="K44">INDEX(products!$B$2:$E$49,MATCH($D44,products!$A$2:$A$49,0),COLUMN(C43))</f>
        <v>0.2</v>
      </c>
      <c r="L44" s="5" cm="1">
        <f t="array" ref="L44">INDEX(products!$B$2:$E$49,MATCH($D44,products!$A$2:$A$49,0),COLUMN(D43))</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f>
        <v>Maurie Bartol</v>
      </c>
      <c r="G45" s="2" t="str">
        <f>IF(_xlfn.XLOOKUP(C45,customers!$A$1:$A$1001,customers!$C$1:$C$1001,,0)=0,"",(_xlfn.XLOOKUP(C45,customers!$A$1:$A$1001,customers!$C$1:$C$1001,,0)))</f>
        <v/>
      </c>
      <c r="H45" s="2" t="str">
        <f>_xlfn.XLOOKUP(C45,customers!$A$1:$A$1001,customers!$G$1:$G$1001,,0)</f>
        <v>United States</v>
      </c>
      <c r="I45" t="str">
        <f>INDEX(products!$A$1:$G$49,MATCH($D45,products!$A$1:$A$49,0),MATCH(I$1,products!$A$1:$G$1,0))</f>
        <v>Lib</v>
      </c>
      <c r="J45" t="str" cm="1">
        <f t="array" ref="J45">INDEX(products!$B$2:$E$49,MATCH($D45,products!$A$2:$A$49,0),COLUMN(B44))</f>
        <v>L</v>
      </c>
      <c r="K45" s="4" cm="1">
        <f t="array" ref="K45">INDEX(products!$B$2:$E$49,MATCH($D45,products!$A$2:$A$49,0),COLUMN(C44))</f>
        <v>2.5</v>
      </c>
      <c r="L45" s="5" cm="1">
        <f t="array" ref="L45">INDEX(products!$B$2:$E$49,MATCH($D45,products!$A$2:$A$49,0),COLUMN(D44))</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INDEX(products!$A$1:$G$49,MATCH($D46,products!$A$1:$A$49,0),MATCH(I$1,products!$A$1:$G$1,0))</f>
        <v>Exc</v>
      </c>
      <c r="J46" t="str" cm="1">
        <f t="array" ref="J46">INDEX(products!$B$2:$E$49,MATCH($D46,products!$A$2:$A$49,0),COLUMN(B45))</f>
        <v>M</v>
      </c>
      <c r="K46" s="4" cm="1">
        <f t="array" ref="K46">INDEX(products!$B$2:$E$49,MATCH($D46,products!$A$2:$A$49,0),COLUMN(C45))</f>
        <v>0.5</v>
      </c>
      <c r="L46" s="5" cm="1">
        <f t="array" ref="L46">INDEX(products!$B$2:$E$49,MATCH($D46,products!$A$2:$A$49,0),COLUMN(D45))</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INDEX(products!$A$1:$G$49,MATCH($D47,products!$A$1:$A$49,0),MATCH(I$1,products!$A$1:$G$1,0))</f>
        <v>Lib</v>
      </c>
      <c r="J47" t="str" cm="1">
        <f t="array" ref="J47">INDEX(products!$B$2:$E$49,MATCH($D47,products!$A$2:$A$49,0),COLUMN(B46))</f>
        <v>D</v>
      </c>
      <c r="K47" s="4" cm="1">
        <f t="array" ref="K47">INDEX(products!$B$2:$E$49,MATCH($D47,products!$A$2:$A$49,0),COLUMN(C46))</f>
        <v>2.5</v>
      </c>
      <c r="L47" s="5" cm="1">
        <f t="array" ref="L47">INDEX(products!$B$2:$E$49,MATCH($D47,products!$A$2:$A$49,0),COLUMN(D46))</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f>
        <v>Donna Baskeyfied</v>
      </c>
      <c r="G48" s="2" t="str">
        <f>IF(_xlfn.XLOOKUP(C48,customers!$A$1:$A$1001,customers!$C$1:$C$1001,,0)=0,"",(_xlfn.XLOOKUP(C48,customers!$A$1:$A$1001,customers!$C$1:$C$1001,,0)))</f>
        <v/>
      </c>
      <c r="H48" s="2" t="str">
        <f>_xlfn.XLOOKUP(C48,customers!$A$1:$A$1001,customers!$G$1:$G$1001,,0)</f>
        <v>United States</v>
      </c>
      <c r="I48" t="str">
        <f>INDEX(products!$A$1:$G$49,MATCH($D48,products!$A$1:$A$49,0),MATCH(I$1,products!$A$1:$G$1,0))</f>
        <v>Exc</v>
      </c>
      <c r="J48" t="str" cm="1">
        <f t="array" ref="J48">INDEX(products!$B$2:$E$49,MATCH($D48,products!$A$2:$A$49,0),COLUMN(B47))</f>
        <v>M</v>
      </c>
      <c r="K48" s="4" cm="1">
        <f t="array" ref="K48">INDEX(products!$B$2:$E$49,MATCH($D48,products!$A$2:$A$49,0),COLUMN(C47))</f>
        <v>2.5</v>
      </c>
      <c r="L48" s="5" cm="1">
        <f t="array" ref="L48">INDEX(products!$B$2:$E$49,MATCH($D48,products!$A$2:$A$49,0),COLUMN(D47))</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f>
        <v>Arda Curley</v>
      </c>
      <c r="G49" s="2" t="str">
        <f>IF(_xlfn.XLOOKUP(C49,customers!$A$1:$A$1001,customers!$C$1:$C$1001,,0)=0,"",(_xlfn.XLOOKUP(C49,customers!$A$1:$A$1001,customers!$C$1:$C$1001,,0)))</f>
        <v>acurley1b@hao123.com</v>
      </c>
      <c r="H49" s="2" t="str">
        <f>_xlfn.XLOOKUP(C49,customers!$A$1:$A$1001,customers!$G$1:$G$1001,,0)</f>
        <v>United States</v>
      </c>
      <c r="I49" t="str">
        <f>INDEX(products!$A$1:$G$49,MATCH($D49,products!$A$1:$A$49,0),MATCH(I$1,products!$A$1:$G$1,0))</f>
        <v>Ara</v>
      </c>
      <c r="J49" t="str" cm="1">
        <f t="array" ref="J49">INDEX(products!$B$2:$E$49,MATCH($D49,products!$A$2:$A$49,0),COLUMN(B48))</f>
        <v>L</v>
      </c>
      <c r="K49" s="4" cm="1">
        <f t="array" ref="K49">INDEX(products!$B$2:$E$49,MATCH($D49,products!$A$2:$A$49,0),COLUMN(C48))</f>
        <v>0.2</v>
      </c>
      <c r="L49" s="5" cm="1">
        <f t="array" ref="L49">INDEX(products!$B$2:$E$49,MATCH($D49,products!$A$2:$A$49,0),COLUMN(D48))</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INDEX(products!$A$1:$G$49,MATCH($D50,products!$A$1:$A$49,0),MATCH(I$1,products!$A$1:$G$1,0))</f>
        <v>Ara</v>
      </c>
      <c r="J50" t="str" cm="1">
        <f t="array" ref="J50">INDEX(products!$B$2:$E$49,MATCH($D50,products!$A$2:$A$49,0),COLUMN(B49))</f>
        <v>D</v>
      </c>
      <c r="K50" s="4" cm="1">
        <f t="array" ref="K50">INDEX(products!$B$2:$E$49,MATCH($D50,products!$A$2:$A$49,0),COLUMN(C49))</f>
        <v>2.5</v>
      </c>
      <c r="L50" s="5" cm="1">
        <f t="array" ref="L50">INDEX(products!$B$2:$E$49,MATCH($D50,products!$A$2:$A$49,0),COLUMN(D49))</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INDEX(products!$A$1:$G$49,MATCH($D51,products!$A$1:$A$49,0),MATCH(I$1,products!$A$1:$G$1,0))</f>
        <v>Ara</v>
      </c>
      <c r="J51" t="str" cm="1">
        <f t="array" ref="J51">INDEX(products!$B$2:$E$49,MATCH($D51,products!$A$2:$A$49,0),COLUMN(B50))</f>
        <v>L</v>
      </c>
      <c r="K51" s="4" cm="1">
        <f t="array" ref="K51">INDEX(products!$B$2:$E$49,MATCH($D51,products!$A$2:$A$49,0),COLUMN(C50))</f>
        <v>1</v>
      </c>
      <c r="L51" s="5" cm="1">
        <f t="array" ref="L51">INDEX(products!$B$2:$E$49,MATCH($D51,products!$A$2:$A$49,0),COLUMN(D50))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INDEX(products!$A$1:$G$49,MATCH($D52,products!$A$1:$A$49,0),MATCH(I$1,products!$A$1:$G$1,0))</f>
        <v>Lib</v>
      </c>
      <c r="J52" t="str" cm="1">
        <f t="array" ref="J52">INDEX(products!$B$2:$E$49,MATCH($D52,products!$A$2:$A$49,0),COLUMN(B51))</f>
        <v>D</v>
      </c>
      <c r="K52" s="4" cm="1">
        <f t="array" ref="K52">INDEX(products!$B$2:$E$49,MATCH($D52,products!$A$2:$A$49,0),COLUMN(C51))</f>
        <v>0.5</v>
      </c>
      <c r="L52" s="5" cm="1">
        <f t="array" ref="L52">INDEX(products!$B$2:$E$49,MATCH($D52,products!$A$2:$A$49,0),COLUMN(D51))</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f>
        <v>Karry Flanders</v>
      </c>
      <c r="G53" s="2" t="str">
        <f>IF(_xlfn.XLOOKUP(C53,customers!$A$1:$A$1001,customers!$C$1:$C$1001,,0)=0,"",(_xlfn.XLOOKUP(C53,customers!$A$1:$A$1001,customers!$C$1:$C$1001,,0)))</f>
        <v>kflanders1f@over-blog.com</v>
      </c>
      <c r="H53" s="2" t="str">
        <f>_xlfn.XLOOKUP(C53,customers!$A$1:$A$1001,customers!$G$1:$G$1001,,0)</f>
        <v>Ireland</v>
      </c>
      <c r="I53" t="str">
        <f>INDEX(products!$A$1:$G$49,MATCH($D53,products!$A$1:$A$49,0),MATCH(I$1,products!$A$1:$G$1,0))</f>
        <v>Lib</v>
      </c>
      <c r="J53" t="str" cm="1">
        <f t="array" ref="J53">INDEX(products!$B$2:$E$49,MATCH($D53,products!$A$2:$A$49,0),COLUMN(B52))</f>
        <v>L</v>
      </c>
      <c r="K53" s="4" cm="1">
        <f t="array" ref="K53">INDEX(products!$B$2:$E$49,MATCH($D53,products!$A$2:$A$49,0),COLUMN(C52))</f>
        <v>2.5</v>
      </c>
      <c r="L53" s="5" cm="1">
        <f t="array" ref="L53">INDEX(products!$B$2:$E$49,MATCH($D53,products!$A$2:$A$49,0),COLUMN(D52))</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INDEX(products!$A$1:$G$49,MATCH($D54,products!$A$1:$A$49,0),MATCH(I$1,products!$A$1:$G$1,0))</f>
        <v>Rob</v>
      </c>
      <c r="J54" t="str" cm="1">
        <f t="array" ref="J54">INDEX(products!$B$2:$E$49,MATCH($D54,products!$A$2:$A$49,0),COLUMN(B53))</f>
        <v>M</v>
      </c>
      <c r="K54" s="4" cm="1">
        <f t="array" ref="K54">INDEX(products!$B$2:$E$49,MATCH($D54,products!$A$2:$A$49,0),COLUMN(C53))</f>
        <v>0.5</v>
      </c>
      <c r="L54" s="5" cm="1">
        <f t="array" ref="L54">INDEX(products!$B$2:$E$49,MATCH($D54,products!$A$2:$A$49,0),COLUMN(D53))</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INDEX(products!$A$1:$G$49,MATCH($D55,products!$A$1:$A$49,0),MATCH(I$1,products!$A$1:$G$1,0))</f>
        <v>Lib</v>
      </c>
      <c r="J55" t="str" cm="1">
        <f t="array" ref="J55">INDEX(products!$B$2:$E$49,MATCH($D55,products!$A$2:$A$49,0),COLUMN(B54))</f>
        <v>L</v>
      </c>
      <c r="K55" s="4" cm="1">
        <f t="array" ref="K55">INDEX(products!$B$2:$E$49,MATCH($D55,products!$A$2:$A$49,0),COLUMN(C54))</f>
        <v>2.5</v>
      </c>
      <c r="L55" s="5" cm="1">
        <f t="array" ref="L55">INDEX(products!$B$2:$E$49,MATCH($D55,products!$A$2:$A$49,0),COLUMN(D54))</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INDEX(products!$A$1:$G$49,MATCH($D56,products!$A$1:$A$49,0),MATCH(I$1,products!$A$1:$G$1,0))</f>
        <v>Lib</v>
      </c>
      <c r="J56" t="str" cm="1">
        <f t="array" ref="J56">INDEX(products!$B$2:$E$49,MATCH($D56,products!$A$2:$A$49,0),COLUMN(B55))</f>
        <v>M</v>
      </c>
      <c r="K56" s="4" cm="1">
        <f t="array" ref="K56">INDEX(products!$B$2:$E$49,MATCH($D56,products!$A$2:$A$49,0),COLUMN(C55))</f>
        <v>1</v>
      </c>
      <c r="L56" s="5" cm="1">
        <f t="array" ref="L56">INDEX(products!$B$2:$E$49,MATCH($D56,products!$A$2:$A$49,0),COLUMN(D55))</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f>
        <v>Salomo Cushworth</v>
      </c>
      <c r="G57" s="2" t="str">
        <f>IF(_xlfn.XLOOKUP(C57,customers!$A$1:$A$1001,customers!$C$1:$C$1001,,0)=0,"",(_xlfn.XLOOKUP(C57,customers!$A$1:$A$1001,customers!$C$1:$C$1001,,0)))</f>
        <v/>
      </c>
      <c r="H57" s="2" t="str">
        <f>_xlfn.XLOOKUP(C57,customers!$A$1:$A$1001,customers!$G$1:$G$1001,,0)</f>
        <v>United States</v>
      </c>
      <c r="I57" t="str">
        <f>INDEX(products!$A$1:$G$49,MATCH($D57,products!$A$1:$A$49,0),MATCH(I$1,products!$A$1:$G$1,0))</f>
        <v>Lib</v>
      </c>
      <c r="J57" t="str" cm="1">
        <f t="array" ref="J57">INDEX(products!$B$2:$E$49,MATCH($D57,products!$A$2:$A$49,0),COLUMN(B56))</f>
        <v>L</v>
      </c>
      <c r="K57" s="4" cm="1">
        <f t="array" ref="K57">INDEX(products!$B$2:$E$49,MATCH($D57,products!$A$2:$A$49,0),COLUMN(C56))</f>
        <v>1</v>
      </c>
      <c r="L57" s="5" cm="1">
        <f t="array" ref="L57">INDEX(products!$B$2:$E$49,MATCH($D57,products!$A$2:$A$49,0),COLUMN(D56))</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INDEX(products!$A$1:$G$49,MATCH($D58,products!$A$1:$A$49,0),MATCH(I$1,products!$A$1:$G$1,0))</f>
        <v>Exc</v>
      </c>
      <c r="J58" t="str" cm="1">
        <f t="array" ref="J58">INDEX(products!$B$2:$E$49,MATCH($D58,products!$A$2:$A$49,0),COLUMN(B57))</f>
        <v>D</v>
      </c>
      <c r="K58" s="4" cm="1">
        <f t="array" ref="K58">INDEX(products!$B$2:$E$49,MATCH($D58,products!$A$2:$A$49,0),COLUMN(C57))</f>
        <v>0.2</v>
      </c>
      <c r="L58" s="5" cm="1">
        <f t="array" ref="L58">INDEX(products!$B$2:$E$49,MATCH($D58,products!$A$2:$A$49,0),COLUMN(D57))</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INDEX(products!$A$1:$G$49,MATCH($D59,products!$A$1:$A$49,0),MATCH(I$1,products!$A$1:$G$1,0))</f>
        <v>Exc</v>
      </c>
      <c r="J59" t="str" cm="1">
        <f t="array" ref="J59">INDEX(products!$B$2:$E$49,MATCH($D59,products!$A$2:$A$49,0),COLUMN(B58))</f>
        <v>L</v>
      </c>
      <c r="K59" s="4" cm="1">
        <f t="array" ref="K59">INDEX(products!$B$2:$E$49,MATCH($D59,products!$A$2:$A$49,0),COLUMN(C58))</f>
        <v>1</v>
      </c>
      <c r="L59" s="5" cm="1">
        <f t="array" ref="L59">INDEX(products!$B$2:$E$49,MATCH($D59,products!$A$2:$A$49,0),COLUMN(D58))</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f>
        <v>Willa Rolling</v>
      </c>
      <c r="G60" s="2" t="str">
        <f>IF(_xlfn.XLOOKUP(C60,customers!$A$1:$A$1001,customers!$C$1:$C$1001,,0)=0,"",(_xlfn.XLOOKUP(C60,customers!$A$1:$A$1001,customers!$C$1:$C$1001,,0)))</f>
        <v/>
      </c>
      <c r="H60" s="2" t="str">
        <f>_xlfn.XLOOKUP(C60,customers!$A$1:$A$1001,customers!$G$1:$G$1001,,0)</f>
        <v>United States</v>
      </c>
      <c r="I60" t="str">
        <f>INDEX(products!$A$1:$G$49,MATCH($D60,products!$A$1:$A$49,0),MATCH(I$1,products!$A$1:$G$1,0))</f>
        <v>Lib</v>
      </c>
      <c r="J60" t="str" cm="1">
        <f t="array" ref="J60">INDEX(products!$B$2:$E$49,MATCH($D60,products!$A$2:$A$49,0),COLUMN(B59))</f>
        <v>D</v>
      </c>
      <c r="K60" s="4" cm="1">
        <f t="array" ref="K60">INDEX(products!$B$2:$E$49,MATCH($D60,products!$A$2:$A$49,0),COLUMN(C59))</f>
        <v>2.5</v>
      </c>
      <c r="L60" s="5" cm="1">
        <f t="array" ref="L60">INDEX(products!$B$2:$E$49,MATCH($D60,products!$A$2:$A$49,0),COLUMN(D59))</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INDEX(products!$A$1:$G$49,MATCH($D61,products!$A$1:$A$49,0),MATCH(I$1,products!$A$1:$G$1,0))</f>
        <v>Lib</v>
      </c>
      <c r="J61" t="str" cm="1">
        <f t="array" ref="J61">INDEX(products!$B$2:$E$49,MATCH($D61,products!$A$2:$A$49,0),COLUMN(B60))</f>
        <v>M</v>
      </c>
      <c r="K61" s="4" cm="1">
        <f t="array" ref="K61">INDEX(products!$B$2:$E$49,MATCH($D61,products!$A$2:$A$49,0),COLUMN(C60))</f>
        <v>0.5</v>
      </c>
      <c r="L61" s="5" cm="1">
        <f t="array" ref="L61">INDEX(products!$B$2:$E$49,MATCH($D61,products!$A$2:$A$49,0),COLUMN(D60))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INDEX(products!$A$1:$G$49,MATCH($D62,products!$A$1:$A$49,0),MATCH(I$1,products!$A$1:$G$1,0))</f>
        <v>Ara</v>
      </c>
      <c r="J62" t="str" cm="1">
        <f t="array" ref="J62">INDEX(products!$B$2:$E$49,MATCH($D62,products!$A$2:$A$49,0),COLUMN(B61))</f>
        <v>D</v>
      </c>
      <c r="K62" s="4" cm="1">
        <f t="array" ref="K62">INDEX(products!$B$2:$E$49,MATCH($D62,products!$A$2:$A$49,0),COLUMN(C61))</f>
        <v>2.5</v>
      </c>
      <c r="L62" s="5" cm="1">
        <f t="array" ref="L62">INDEX(products!$B$2:$E$49,MATCH($D62,products!$A$2:$A$49,0),COLUMN(D61))</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f>
        <v>Pammi Endacott</v>
      </c>
      <c r="G63" s="2" t="str">
        <f>IF(_xlfn.XLOOKUP(C63,customers!$A$1:$A$1001,customers!$C$1:$C$1001,,0)=0,"",(_xlfn.XLOOKUP(C63,customers!$A$1:$A$1001,customers!$C$1:$C$1001,,0)))</f>
        <v/>
      </c>
      <c r="H63" s="2" t="str">
        <f>_xlfn.XLOOKUP(C63,customers!$A$1:$A$1001,customers!$G$1:$G$1001,,0)</f>
        <v>United Kingdom</v>
      </c>
      <c r="I63" t="str">
        <f>INDEX(products!$A$1:$G$49,MATCH($D63,products!$A$1:$A$49,0),MATCH(I$1,products!$A$1:$G$1,0))</f>
        <v>Rob</v>
      </c>
      <c r="J63" t="str" cm="1">
        <f t="array" ref="J63">INDEX(products!$B$2:$E$49,MATCH($D63,products!$A$2:$A$49,0),COLUMN(B62))</f>
        <v>D</v>
      </c>
      <c r="K63" s="4" cm="1">
        <f t="array" ref="K63">INDEX(products!$B$2:$E$49,MATCH($D63,products!$A$2:$A$49,0),COLUMN(C62))</f>
        <v>0.5</v>
      </c>
      <c r="L63" s="5" cm="1">
        <f t="array" ref="L63">INDEX(products!$B$2:$E$49,MATCH($D63,products!$A$2:$A$49,0),COLUMN(D62))</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f>
        <v>Nona Linklater</v>
      </c>
      <c r="G64" s="2" t="str">
        <f>IF(_xlfn.XLOOKUP(C64,customers!$A$1:$A$1001,customers!$C$1:$C$1001,,0)=0,"",(_xlfn.XLOOKUP(C64,customers!$A$1:$A$1001,customers!$C$1:$C$1001,,0)))</f>
        <v/>
      </c>
      <c r="H64" s="2" t="str">
        <f>_xlfn.XLOOKUP(C64,customers!$A$1:$A$1001,customers!$G$1:$G$1001,,0)</f>
        <v>United States</v>
      </c>
      <c r="I64" t="str">
        <f>INDEX(products!$A$1:$G$49,MATCH($D64,products!$A$1:$A$49,0),MATCH(I$1,products!$A$1:$G$1,0))</f>
        <v>Lib</v>
      </c>
      <c r="J64" t="str" cm="1">
        <f t="array" ref="J64">INDEX(products!$B$2:$E$49,MATCH($D64,products!$A$2:$A$49,0),COLUMN(B63))</f>
        <v>L</v>
      </c>
      <c r="K64" s="4" cm="1">
        <f t="array" ref="K64">INDEX(products!$B$2:$E$49,MATCH($D64,products!$A$2:$A$49,0),COLUMN(C63))</f>
        <v>0.2</v>
      </c>
      <c r="L64" s="5" cm="1">
        <f t="array" ref="L64">INDEX(products!$B$2:$E$49,MATCH($D64,products!$A$2:$A$49,0),COLUMN(D63))</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INDEX(products!$A$1:$G$49,MATCH($D65,products!$A$1:$A$49,0),MATCH(I$1,products!$A$1:$G$1,0))</f>
        <v>Ara</v>
      </c>
      <c r="J65" t="str" cm="1">
        <f t="array" ref="J65">INDEX(products!$B$2:$E$49,MATCH($D65,products!$A$2:$A$49,0),COLUMN(B64))</f>
        <v>M</v>
      </c>
      <c r="K65" s="4" cm="1">
        <f t="array" ref="K65">INDEX(products!$B$2:$E$49,MATCH($D65,products!$A$2:$A$49,0),COLUMN(C64))</f>
        <v>0.5</v>
      </c>
      <c r="L65" s="5" cm="1">
        <f t="array" ref="L65">INDEX(products!$B$2:$E$49,MATCH($D65,products!$A$2:$A$49,0),COLUMN(D64))</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f>
        <v>Felecia Dodgson</v>
      </c>
      <c r="G66" s="2" t="str">
        <f>IF(_xlfn.XLOOKUP(C66,customers!$A$1:$A$1001,customers!$C$1:$C$1001,,0)=0,"",(_xlfn.XLOOKUP(C66,customers!$A$1:$A$1001,customers!$C$1:$C$1001,,0)))</f>
        <v/>
      </c>
      <c r="H66" s="2" t="str">
        <f>_xlfn.XLOOKUP(C66,customers!$A$1:$A$1001,customers!$G$1:$G$1001,,0)</f>
        <v>United States</v>
      </c>
      <c r="I66" t="str">
        <f>INDEX(products!$A$1:$G$49,MATCH($D66,products!$A$1:$A$49,0),MATCH(I$1,products!$A$1:$G$1,0))</f>
        <v>Rob</v>
      </c>
      <c r="J66" t="str" cm="1">
        <f t="array" ref="J66">INDEX(products!$B$2:$E$49,MATCH($D66,products!$A$2:$A$49,0),COLUMN(B65))</f>
        <v>M</v>
      </c>
      <c r="K66" s="4" cm="1">
        <f t="array" ref="K66">INDEX(products!$B$2:$E$49,MATCH($D66,products!$A$2:$A$49,0),COLUMN(C65))</f>
        <v>0.5</v>
      </c>
      <c r="L66" s="5" cm="1">
        <f t="array" ref="L66">INDEX(products!$B$2:$E$49,MATCH($D66,products!$A$2:$A$49,0),COLUMN(D65))</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INDEX(products!$A$1:$G$49,MATCH($D67,products!$A$1:$A$49,0),MATCH(I$1,products!$A$1:$G$1,0))</f>
        <v>Rob</v>
      </c>
      <c r="J67" t="str" cm="1">
        <f t="array" ref="J67">INDEX(products!$B$2:$E$49,MATCH($D67,products!$A$2:$A$49,0),COLUMN(B66))</f>
        <v>D</v>
      </c>
      <c r="K67" s="4" cm="1">
        <f t="array" ref="K67">INDEX(products!$B$2:$E$49,MATCH($D67,products!$A$2:$A$49,0),COLUMN(C66))</f>
        <v>2.5</v>
      </c>
      <c r="L67" s="5" cm="1">
        <f t="array" ref="L67">INDEX(products!$B$2:$E$49,MATCH($D67,products!$A$2:$A$49,0),COLUMN(D66))</f>
        <v>20.584999999999997</v>
      </c>
      <c r="M67" s="5">
        <f t="shared" ref="M67:M130" si="3">E67*L67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INDEX(products!$A$1:$G$49,MATCH($D68,products!$A$1:$A$49,0),MATCH(I$1,products!$A$1:$G$1,0))</f>
        <v>Rob</v>
      </c>
      <c r="J68" t="str" cm="1">
        <f t="array" ref="J68">INDEX(products!$B$2:$E$49,MATCH($D68,products!$A$2:$A$49,0),COLUMN(B67))</f>
        <v>L</v>
      </c>
      <c r="K68" s="4" cm="1">
        <f t="array" ref="K68">INDEX(products!$B$2:$E$49,MATCH($D68,products!$A$2:$A$49,0),COLUMN(C67))</f>
        <v>0.5</v>
      </c>
      <c r="L68" s="5" cm="1">
        <f t="array" ref="L68">INDEX(products!$B$2:$E$49,MATCH($D68,products!$A$2:$A$49,0),COLUMN(D67))</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INDEX(products!$A$1:$G$49,MATCH($D69,products!$A$1:$A$49,0),MATCH(I$1,products!$A$1:$G$1,0))</f>
        <v>Lib</v>
      </c>
      <c r="J69" t="str" cm="1">
        <f t="array" ref="J69">INDEX(products!$B$2:$E$49,MATCH($D69,products!$A$2:$A$49,0),COLUMN(B68))</f>
        <v>L</v>
      </c>
      <c r="K69" s="4" cm="1">
        <f t="array" ref="K69">INDEX(products!$B$2:$E$49,MATCH($D69,products!$A$2:$A$49,0),COLUMN(C68))</f>
        <v>0.2</v>
      </c>
      <c r="L69" s="5" cm="1">
        <f t="array" ref="L69">INDEX(products!$B$2:$E$49,MATCH($D69,products!$A$2:$A$49,0),COLUMN(D68))</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INDEX(products!$A$1:$G$49,MATCH($D70,products!$A$1:$A$49,0),MATCH(I$1,products!$A$1:$G$1,0))</f>
        <v>Rob</v>
      </c>
      <c r="J70" t="str" cm="1">
        <f t="array" ref="J70">INDEX(products!$B$2:$E$49,MATCH($D70,products!$A$2:$A$49,0),COLUMN(B69))</f>
        <v>M</v>
      </c>
      <c r="K70" s="4" cm="1">
        <f t="array" ref="K70">INDEX(products!$B$2:$E$49,MATCH($D70,products!$A$2:$A$49,0),COLUMN(C69))</f>
        <v>0.2</v>
      </c>
      <c r="L70" s="5" cm="1">
        <f t="array" ref="L70">INDEX(products!$B$2:$E$49,MATCH($D70,products!$A$2:$A$49,0),COLUMN(D69))</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INDEX(products!$A$1:$G$49,MATCH($D71,products!$A$1:$A$49,0),MATCH(I$1,products!$A$1:$G$1,0))</f>
        <v>Rob</v>
      </c>
      <c r="J71" t="str" cm="1">
        <f t="array" ref="J71">INDEX(products!$B$2:$E$49,MATCH($D71,products!$A$2:$A$49,0),COLUMN(B70))</f>
        <v>M</v>
      </c>
      <c r="K71" s="4" cm="1">
        <f t="array" ref="K71">INDEX(products!$B$2:$E$49,MATCH($D71,products!$A$2:$A$49,0),COLUMN(C70))</f>
        <v>1</v>
      </c>
      <c r="L71" s="5" cm="1">
        <f t="array" ref="L71">INDEX(products!$B$2:$E$49,MATCH($D71,products!$A$2:$A$49,0),COLUMN(D70))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f>
        <v>Shannon List</v>
      </c>
      <c r="G72" s="2" t="str">
        <f>IF(_xlfn.XLOOKUP(C72,customers!$A$1:$A$1001,customers!$C$1:$C$1001,,0)=0,"",(_xlfn.XLOOKUP(C72,customers!$A$1:$A$1001,customers!$C$1:$C$1001,,0)))</f>
        <v>slist1y@mapquest.com</v>
      </c>
      <c r="H72" s="2" t="str">
        <f>_xlfn.XLOOKUP(C72,customers!$A$1:$A$1001,customers!$G$1:$G$1001,,0)</f>
        <v>United States</v>
      </c>
      <c r="I72" t="str">
        <f>INDEX(products!$A$1:$G$49,MATCH($D72,products!$A$1:$A$49,0),MATCH(I$1,products!$A$1:$G$1,0))</f>
        <v>Exc</v>
      </c>
      <c r="J72" t="str" cm="1">
        <f t="array" ref="J72">INDEX(products!$B$2:$E$49,MATCH($D72,products!$A$2:$A$49,0),COLUMN(B71))</f>
        <v>L</v>
      </c>
      <c r="K72" s="4" cm="1">
        <f t="array" ref="K72">INDEX(products!$B$2:$E$49,MATCH($D72,products!$A$2:$A$49,0),COLUMN(C71))</f>
        <v>2.5</v>
      </c>
      <c r="L72" s="5" cm="1">
        <f t="array" ref="L72">INDEX(products!$B$2:$E$49,MATCH($D72,products!$A$2:$A$49,0),COLUMN(D71))</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INDEX(products!$A$1:$G$49,MATCH($D73,products!$A$1:$A$49,0),MATCH(I$1,products!$A$1:$G$1,0))</f>
        <v>Lib</v>
      </c>
      <c r="J73" t="str" cm="1">
        <f t="array" ref="J73">INDEX(products!$B$2:$E$49,MATCH($D73,products!$A$2:$A$49,0),COLUMN(B72))</f>
        <v>L</v>
      </c>
      <c r="K73" s="4" cm="1">
        <f t="array" ref="K73">INDEX(products!$B$2:$E$49,MATCH($D73,products!$A$2:$A$49,0),COLUMN(C72))</f>
        <v>0.2</v>
      </c>
      <c r="L73" s="5" cm="1">
        <f t="array" ref="L73">INDEX(products!$B$2:$E$49,MATCH($D73,products!$A$2:$A$49,0),COLUMN(D72))</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f>
        <v>Aurlie McCarl</v>
      </c>
      <c r="G74" s="2" t="str">
        <f>IF(_xlfn.XLOOKUP(C74,customers!$A$1:$A$1001,customers!$C$1:$C$1001,,0)=0,"",(_xlfn.XLOOKUP(C74,customers!$A$1:$A$1001,customers!$C$1:$C$1001,,0)))</f>
        <v/>
      </c>
      <c r="H74" s="2" t="str">
        <f>_xlfn.XLOOKUP(C74,customers!$A$1:$A$1001,customers!$G$1:$G$1001,,0)</f>
        <v>United States</v>
      </c>
      <c r="I74" t="str">
        <f>INDEX(products!$A$1:$G$49,MATCH($D74,products!$A$1:$A$49,0),MATCH(I$1,products!$A$1:$G$1,0))</f>
        <v>Ara</v>
      </c>
      <c r="J74" t="str" cm="1">
        <f t="array" ref="J74">INDEX(products!$B$2:$E$49,MATCH($D74,products!$A$2:$A$49,0),COLUMN(B73))</f>
        <v>M</v>
      </c>
      <c r="K74" s="4" cm="1">
        <f t="array" ref="K74">INDEX(products!$B$2:$E$49,MATCH($D74,products!$A$2:$A$49,0),COLUMN(C73))</f>
        <v>2.5</v>
      </c>
      <c r="L74" s="5" cm="1">
        <f t="array" ref="L74">INDEX(products!$B$2:$E$49,MATCH($D74,products!$A$2:$A$49,0),COLUMN(D73))</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f>
        <v>Alikee Carryer</v>
      </c>
      <c r="G75" s="2" t="str">
        <f>IF(_xlfn.XLOOKUP(C75,customers!$A$1:$A$1001,customers!$C$1:$C$1001,,0)=0,"",(_xlfn.XLOOKUP(C75,customers!$A$1:$A$1001,customers!$C$1:$C$1001,,0)))</f>
        <v/>
      </c>
      <c r="H75" s="2" t="str">
        <f>_xlfn.XLOOKUP(C75,customers!$A$1:$A$1001,customers!$G$1:$G$1001,,0)</f>
        <v>United States</v>
      </c>
      <c r="I75" t="str">
        <f>INDEX(products!$A$1:$G$49,MATCH($D75,products!$A$1:$A$49,0),MATCH(I$1,products!$A$1:$G$1,0))</f>
        <v>Lib</v>
      </c>
      <c r="J75" t="str" cm="1">
        <f t="array" ref="J75">INDEX(products!$B$2:$E$49,MATCH($D75,products!$A$2:$A$49,0),COLUMN(B74))</f>
        <v>M</v>
      </c>
      <c r="K75" s="4" cm="1">
        <f t="array" ref="K75">INDEX(products!$B$2:$E$49,MATCH($D75,products!$A$2:$A$49,0),COLUMN(C74))</f>
        <v>0.2</v>
      </c>
      <c r="L75" s="5" cm="1">
        <f t="array" ref="L75">INDEX(products!$B$2:$E$49,MATCH($D75,products!$A$2:$A$49,0),COLUMN(D74))</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INDEX(products!$A$1:$G$49,MATCH($D76,products!$A$1:$A$49,0),MATCH(I$1,products!$A$1:$G$1,0))</f>
        <v>Exc</v>
      </c>
      <c r="J76" t="str" cm="1">
        <f t="array" ref="J76">INDEX(products!$B$2:$E$49,MATCH($D76,products!$A$2:$A$49,0),COLUMN(B75))</f>
        <v>L</v>
      </c>
      <c r="K76" s="4" cm="1">
        <f t="array" ref="K76">INDEX(products!$B$2:$E$49,MATCH($D76,products!$A$2:$A$49,0),COLUMN(C75))</f>
        <v>0.5</v>
      </c>
      <c r="L76" s="5" cm="1">
        <f t="array" ref="L76">INDEX(products!$B$2:$E$49,MATCH($D76,products!$A$2:$A$49,0),COLUMN(D75))</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f>
        <v>Kipper Boorn</v>
      </c>
      <c r="G77" s="2" t="str">
        <f>IF(_xlfn.XLOOKUP(C77,customers!$A$1:$A$1001,customers!$C$1:$C$1001,,0)=0,"",(_xlfn.XLOOKUP(C77,customers!$A$1:$A$1001,customers!$C$1:$C$1001,,0)))</f>
        <v>kboorn23@ezinearticles.com</v>
      </c>
      <c r="H77" s="2" t="str">
        <f>_xlfn.XLOOKUP(C77,customers!$A$1:$A$1001,customers!$G$1:$G$1001,,0)</f>
        <v>Ireland</v>
      </c>
      <c r="I77" t="str">
        <f>INDEX(products!$A$1:$G$49,MATCH($D77,products!$A$1:$A$49,0),MATCH(I$1,products!$A$1:$G$1,0))</f>
        <v>Rob</v>
      </c>
      <c r="J77" t="str" cm="1">
        <f t="array" ref="J77">INDEX(products!$B$2:$E$49,MATCH($D77,products!$A$2:$A$49,0),COLUMN(B76))</f>
        <v>D</v>
      </c>
      <c r="K77" s="4" cm="1">
        <f t="array" ref="K77">INDEX(products!$B$2:$E$49,MATCH($D77,products!$A$2:$A$49,0),COLUMN(C76))</f>
        <v>1</v>
      </c>
      <c r="L77" s="5" cm="1">
        <f t="array" ref="L77">INDEX(products!$B$2:$E$49,MATCH($D77,products!$A$2:$A$49,0),COLUMN(D76))</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f>
        <v>Melania Beadle</v>
      </c>
      <c r="G78" s="2" t="str">
        <f>IF(_xlfn.XLOOKUP(C78,customers!$A$1:$A$1001,customers!$C$1:$C$1001,,0)=0,"",(_xlfn.XLOOKUP(C78,customers!$A$1:$A$1001,customers!$C$1:$C$1001,,0)))</f>
        <v/>
      </c>
      <c r="H78" s="2" t="str">
        <f>_xlfn.XLOOKUP(C78,customers!$A$1:$A$1001,customers!$G$1:$G$1001,,0)</f>
        <v>Ireland</v>
      </c>
      <c r="I78" t="str">
        <f>INDEX(products!$A$1:$G$49,MATCH($D78,products!$A$1:$A$49,0),MATCH(I$1,products!$A$1:$G$1,0))</f>
        <v>Rob</v>
      </c>
      <c r="J78" t="str" cm="1">
        <f t="array" ref="J78">INDEX(products!$B$2:$E$49,MATCH($D78,products!$A$2:$A$49,0),COLUMN(B77))</f>
        <v>L</v>
      </c>
      <c r="K78" s="4" cm="1">
        <f t="array" ref="K78">INDEX(products!$B$2:$E$49,MATCH($D78,products!$A$2:$A$49,0),COLUMN(C77))</f>
        <v>0.2</v>
      </c>
      <c r="L78" s="5" cm="1">
        <f t="array" ref="L78">INDEX(products!$B$2:$E$49,MATCH($D78,products!$A$2:$A$49,0),COLUMN(D77))</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f>
        <v>Colene Elgey</v>
      </c>
      <c r="G79" s="2" t="str">
        <f>IF(_xlfn.XLOOKUP(C79,customers!$A$1:$A$1001,customers!$C$1:$C$1001,,0)=0,"",(_xlfn.XLOOKUP(C79,customers!$A$1:$A$1001,customers!$C$1:$C$1001,,0)))</f>
        <v>celgey25@webs.com</v>
      </c>
      <c r="H79" s="2" t="str">
        <f>_xlfn.XLOOKUP(C79,customers!$A$1:$A$1001,customers!$G$1:$G$1001,,0)</f>
        <v>United States</v>
      </c>
      <c r="I79" t="str">
        <f>INDEX(products!$A$1:$G$49,MATCH($D79,products!$A$1:$A$49,0),MATCH(I$1,products!$A$1:$G$1,0))</f>
        <v>Exc</v>
      </c>
      <c r="J79" t="str" cm="1">
        <f t="array" ref="J79">INDEX(products!$B$2:$E$49,MATCH($D79,products!$A$2:$A$49,0),COLUMN(B78))</f>
        <v>D</v>
      </c>
      <c r="K79" s="4" cm="1">
        <f t="array" ref="K79">INDEX(products!$B$2:$E$49,MATCH($D79,products!$A$2:$A$49,0),COLUMN(C78))</f>
        <v>0.2</v>
      </c>
      <c r="L79" s="5" cm="1">
        <f t="array" ref="L79">INDEX(products!$B$2:$E$49,MATCH($D79,products!$A$2:$A$49,0),COLUMN(D78))</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INDEX(products!$A$1:$G$49,MATCH($D80,products!$A$1:$A$49,0),MATCH(I$1,products!$A$1:$G$1,0))</f>
        <v>Ara</v>
      </c>
      <c r="J80" t="str" cm="1">
        <f t="array" ref="J80">INDEX(products!$B$2:$E$49,MATCH($D80,products!$A$2:$A$49,0),COLUMN(B79))</f>
        <v>M</v>
      </c>
      <c r="K80" s="4" cm="1">
        <f t="array" ref="K80">INDEX(products!$B$2:$E$49,MATCH($D80,products!$A$2:$A$49,0),COLUMN(C79))</f>
        <v>0.5</v>
      </c>
      <c r="L80" s="5" cm="1">
        <f t="array" ref="L80">INDEX(products!$B$2:$E$49,MATCH($D80,products!$A$2:$A$49,0),COLUMN(D79))</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INDEX(products!$A$1:$G$49,MATCH($D81,products!$A$1:$A$49,0),MATCH(I$1,products!$A$1:$G$1,0))</f>
        <v>Rob</v>
      </c>
      <c r="J81" t="str" cm="1">
        <f t="array" ref="J81">INDEX(products!$B$2:$E$49,MATCH($D81,products!$A$2:$A$49,0),COLUMN(B80))</f>
        <v>L</v>
      </c>
      <c r="K81" s="4" cm="1">
        <f t="array" ref="K81">INDEX(products!$B$2:$E$49,MATCH($D81,products!$A$2:$A$49,0),COLUMN(C80))</f>
        <v>1</v>
      </c>
      <c r="L81" s="5" cm="1">
        <f t="array" ref="L81">INDEX(products!$B$2:$E$49,MATCH($D81,products!$A$2:$A$49,0),COLUMN(D80))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f>
        <v>Ami Arnow</v>
      </c>
      <c r="G82" s="2" t="str">
        <f>IF(_xlfn.XLOOKUP(C82,customers!$A$1:$A$1001,customers!$C$1:$C$1001,,0)=0,"",(_xlfn.XLOOKUP(C82,customers!$A$1:$A$1001,customers!$C$1:$C$1001,,0)))</f>
        <v>aarnow28@arizona.edu</v>
      </c>
      <c r="H82" s="2" t="str">
        <f>_xlfn.XLOOKUP(C82,customers!$A$1:$A$1001,customers!$G$1:$G$1001,,0)</f>
        <v>United States</v>
      </c>
      <c r="I82" t="str">
        <f>INDEX(products!$A$1:$G$49,MATCH($D82,products!$A$1:$A$49,0),MATCH(I$1,products!$A$1:$G$1,0))</f>
        <v>Ara</v>
      </c>
      <c r="J82" t="str" cm="1">
        <f t="array" ref="J82">INDEX(products!$B$2:$E$49,MATCH($D82,products!$A$2:$A$49,0),COLUMN(B81))</f>
        <v>L</v>
      </c>
      <c r="K82" s="4" cm="1">
        <f t="array" ref="K82">INDEX(products!$B$2:$E$49,MATCH($D82,products!$A$2:$A$49,0),COLUMN(C81))</f>
        <v>0.5</v>
      </c>
      <c r="L82" s="5" cm="1">
        <f t="array" ref="L82">INDEX(products!$B$2:$E$49,MATCH($D82,products!$A$2:$A$49,0),COLUMN(D81))</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f>
        <v>Sheppard Yann</v>
      </c>
      <c r="G83" s="2" t="str">
        <f>IF(_xlfn.XLOOKUP(C83,customers!$A$1:$A$1001,customers!$C$1:$C$1001,,0)=0,"",(_xlfn.XLOOKUP(C83,customers!$A$1:$A$1001,customers!$C$1:$C$1001,,0)))</f>
        <v>syann29@senate.gov</v>
      </c>
      <c r="H83" s="2" t="str">
        <f>_xlfn.XLOOKUP(C83,customers!$A$1:$A$1001,customers!$G$1:$G$1001,,0)</f>
        <v>United States</v>
      </c>
      <c r="I83" t="str">
        <f>INDEX(products!$A$1:$G$49,MATCH($D83,products!$A$1:$A$49,0),MATCH(I$1,products!$A$1:$G$1,0))</f>
        <v>Lib</v>
      </c>
      <c r="J83" t="str" cm="1">
        <f t="array" ref="J83">INDEX(products!$B$2:$E$49,MATCH($D83,products!$A$2:$A$49,0),COLUMN(B82))</f>
        <v>L</v>
      </c>
      <c r="K83" s="4" cm="1">
        <f t="array" ref="K83">INDEX(products!$B$2:$E$49,MATCH($D83,products!$A$2:$A$49,0),COLUMN(C82))</f>
        <v>2.5</v>
      </c>
      <c r="L83" s="5" cm="1">
        <f t="array" ref="L83">INDEX(products!$B$2:$E$49,MATCH($D83,products!$A$2:$A$49,0),COLUMN(D82))</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f>
        <v>Bunny Naulls</v>
      </c>
      <c r="G84" s="2" t="str">
        <f>IF(_xlfn.XLOOKUP(C84,customers!$A$1:$A$1001,customers!$C$1:$C$1001,,0)=0,"",(_xlfn.XLOOKUP(C84,customers!$A$1:$A$1001,customers!$C$1:$C$1001,,0)))</f>
        <v>bnaulls2a@tiny.cc</v>
      </c>
      <c r="H84" s="2" t="str">
        <f>_xlfn.XLOOKUP(C84,customers!$A$1:$A$1001,customers!$G$1:$G$1001,,0)</f>
        <v>Ireland</v>
      </c>
      <c r="I84" t="str">
        <f>INDEX(products!$A$1:$G$49,MATCH($D84,products!$A$1:$A$49,0),MATCH(I$1,products!$A$1:$G$1,0))</f>
        <v>Lib</v>
      </c>
      <c r="J84" t="str" cm="1">
        <f t="array" ref="J84">INDEX(products!$B$2:$E$49,MATCH($D84,products!$A$2:$A$49,0),COLUMN(B83))</f>
        <v>M</v>
      </c>
      <c r="K84" s="4" cm="1">
        <f t="array" ref="K84">INDEX(products!$B$2:$E$49,MATCH($D84,products!$A$2:$A$49,0),COLUMN(C83))</f>
        <v>2.5</v>
      </c>
      <c r="L84" s="5" cm="1">
        <f t="array" ref="L84">INDEX(products!$B$2:$E$49,MATCH($D84,products!$A$2:$A$49,0),COLUMN(D83))</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f>
        <v>Hally Lorait</v>
      </c>
      <c r="G85" s="2" t="str">
        <f>IF(_xlfn.XLOOKUP(C85,customers!$A$1:$A$1001,customers!$C$1:$C$1001,,0)=0,"",(_xlfn.XLOOKUP(C85,customers!$A$1:$A$1001,customers!$C$1:$C$1001,,0)))</f>
        <v/>
      </c>
      <c r="H85" s="2" t="str">
        <f>_xlfn.XLOOKUP(C85,customers!$A$1:$A$1001,customers!$G$1:$G$1001,,0)</f>
        <v>United States</v>
      </c>
      <c r="I85" t="str">
        <f>INDEX(products!$A$1:$G$49,MATCH($D85,products!$A$1:$A$49,0),MATCH(I$1,products!$A$1:$G$1,0))</f>
        <v>Rob</v>
      </c>
      <c r="J85" t="str" cm="1">
        <f t="array" ref="J85">INDEX(products!$B$2:$E$49,MATCH($D85,products!$A$2:$A$49,0),COLUMN(B84))</f>
        <v>D</v>
      </c>
      <c r="K85" s="4" cm="1">
        <f t="array" ref="K85">INDEX(products!$B$2:$E$49,MATCH($D85,products!$A$2:$A$49,0),COLUMN(C84))</f>
        <v>2.5</v>
      </c>
      <c r="L85" s="5" cm="1">
        <f t="array" ref="L85">INDEX(products!$B$2:$E$49,MATCH($D85,products!$A$2:$A$49,0),COLUMN(D84))</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INDEX(products!$A$1:$G$49,MATCH($D86,products!$A$1:$A$49,0),MATCH(I$1,products!$A$1:$G$1,0))</f>
        <v>Lib</v>
      </c>
      <c r="J86" t="str" cm="1">
        <f t="array" ref="J86">INDEX(products!$B$2:$E$49,MATCH($D86,products!$A$2:$A$49,0),COLUMN(B85))</f>
        <v>L</v>
      </c>
      <c r="K86" s="4" cm="1">
        <f t="array" ref="K86">INDEX(products!$B$2:$E$49,MATCH($D86,products!$A$2:$A$49,0),COLUMN(C85))</f>
        <v>0.5</v>
      </c>
      <c r="L86" s="5" cm="1">
        <f t="array" ref="L86">INDEX(products!$B$2:$E$49,MATCH($D86,products!$A$2:$A$49,0),COLUMN(D85))</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INDEX(products!$A$1:$G$49,MATCH($D87,products!$A$1:$A$49,0),MATCH(I$1,products!$A$1:$G$1,0))</f>
        <v>Ara</v>
      </c>
      <c r="J87" t="str" cm="1">
        <f t="array" ref="J87">INDEX(products!$B$2:$E$49,MATCH($D87,products!$A$2:$A$49,0),COLUMN(B86))</f>
        <v>L</v>
      </c>
      <c r="K87" s="4" cm="1">
        <f t="array" ref="K87">INDEX(products!$B$2:$E$49,MATCH($D87,products!$A$2:$A$49,0),COLUMN(C86))</f>
        <v>2.5</v>
      </c>
      <c r="L87" s="5" cm="1">
        <f t="array" ref="L87">INDEX(products!$B$2:$E$49,MATCH($D87,products!$A$2:$A$49,0),COLUMN(D86))</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INDEX(products!$A$1:$G$49,MATCH($D88,products!$A$1:$A$49,0),MATCH(I$1,products!$A$1:$G$1,0))</f>
        <v>Ara</v>
      </c>
      <c r="J88" t="str" cm="1">
        <f t="array" ref="J88">INDEX(products!$B$2:$E$49,MATCH($D88,products!$A$2:$A$49,0),COLUMN(B87))</f>
        <v>D</v>
      </c>
      <c r="K88" s="4" cm="1">
        <f t="array" ref="K88">INDEX(products!$B$2:$E$49,MATCH($D88,products!$A$2:$A$49,0),COLUMN(C87))</f>
        <v>0.2</v>
      </c>
      <c r="L88" s="5" cm="1">
        <f t="array" ref="L88">INDEX(products!$B$2:$E$49,MATCH($D88,products!$A$2:$A$49,0),COLUMN(D87))</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INDEX(products!$A$1:$G$49,MATCH($D89,products!$A$1:$A$49,0),MATCH(I$1,products!$A$1:$G$1,0))</f>
        <v>Ara</v>
      </c>
      <c r="J89" t="str" cm="1">
        <f t="array" ref="J89">INDEX(products!$B$2:$E$49,MATCH($D89,products!$A$2:$A$49,0),COLUMN(B88))</f>
        <v>M</v>
      </c>
      <c r="K89" s="4" cm="1">
        <f t="array" ref="K89">INDEX(products!$B$2:$E$49,MATCH($D89,products!$A$2:$A$49,0),COLUMN(C88))</f>
        <v>1</v>
      </c>
      <c r="L89" s="5" cm="1">
        <f t="array" ref="L89">INDEX(products!$B$2:$E$49,MATCH($D89,products!$A$2:$A$49,0),COLUMN(D88))</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INDEX(products!$A$1:$G$49,MATCH($D90,products!$A$1:$A$49,0),MATCH(I$1,products!$A$1:$G$1,0))</f>
        <v>Rob</v>
      </c>
      <c r="J90" t="str" cm="1">
        <f t="array" ref="J90">INDEX(products!$B$2:$E$49,MATCH($D90,products!$A$2:$A$49,0),COLUMN(B89))</f>
        <v>L</v>
      </c>
      <c r="K90" s="4" cm="1">
        <f t="array" ref="K90">INDEX(products!$B$2:$E$49,MATCH($D90,products!$A$2:$A$49,0),COLUMN(C89))</f>
        <v>1</v>
      </c>
      <c r="L90" s="5" cm="1">
        <f t="array" ref="L90">INDEX(products!$B$2:$E$49,MATCH($D90,products!$A$2:$A$49,0),COLUMN(D89))</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INDEX(products!$A$1:$G$49,MATCH($D91,products!$A$1:$A$49,0),MATCH(I$1,products!$A$1:$G$1,0))</f>
        <v>Ara</v>
      </c>
      <c r="J91" t="str" cm="1">
        <f t="array" ref="J91">INDEX(products!$B$2:$E$49,MATCH($D91,products!$A$2:$A$49,0),COLUMN(B90))</f>
        <v>L</v>
      </c>
      <c r="K91" s="4" cm="1">
        <f t="array" ref="K91">INDEX(products!$B$2:$E$49,MATCH($D91,products!$A$2:$A$49,0),COLUMN(C90))</f>
        <v>1</v>
      </c>
      <c r="L91" s="5" cm="1">
        <f t="array" ref="L91">INDEX(products!$B$2:$E$49,MATCH($D91,products!$A$2:$A$49,0),COLUMN(D90))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f>
        <v>Loydie Langlais</v>
      </c>
      <c r="G92" s="2" t="str">
        <f>IF(_xlfn.XLOOKUP(C92,customers!$A$1:$A$1001,customers!$C$1:$C$1001,,0)=0,"",(_xlfn.XLOOKUP(C92,customers!$A$1:$A$1001,customers!$C$1:$C$1001,,0)))</f>
        <v/>
      </c>
      <c r="H92" s="2" t="str">
        <f>_xlfn.XLOOKUP(C92,customers!$A$1:$A$1001,customers!$G$1:$G$1001,,0)</f>
        <v>Ireland</v>
      </c>
      <c r="I92" t="str">
        <f>INDEX(products!$A$1:$G$49,MATCH($D92,products!$A$1:$A$49,0),MATCH(I$1,products!$A$1:$G$1,0))</f>
        <v>Ara</v>
      </c>
      <c r="J92" t="str" cm="1">
        <f t="array" ref="J92">INDEX(products!$B$2:$E$49,MATCH($D92,products!$A$2:$A$49,0),COLUMN(B91))</f>
        <v>L</v>
      </c>
      <c r="K92" s="4" cm="1">
        <f t="array" ref="K92">INDEX(products!$B$2:$E$49,MATCH($D92,products!$A$2:$A$49,0),COLUMN(C91))</f>
        <v>1</v>
      </c>
      <c r="L92" s="5" cm="1">
        <f t="array" ref="L92">INDEX(products!$B$2:$E$49,MATCH($D92,products!$A$2:$A$49,0),COLUMN(D91))</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INDEX(products!$A$1:$G$49,MATCH($D93,products!$A$1:$A$49,0),MATCH(I$1,products!$A$1:$G$1,0))</f>
        <v>Ara</v>
      </c>
      <c r="J93" t="str" cm="1">
        <f t="array" ref="J93">INDEX(products!$B$2:$E$49,MATCH($D93,products!$A$2:$A$49,0),COLUMN(B92))</f>
        <v>M</v>
      </c>
      <c r="K93" s="4" cm="1">
        <f t="array" ref="K93">INDEX(products!$B$2:$E$49,MATCH($D93,products!$A$2:$A$49,0),COLUMN(C92))</f>
        <v>2.5</v>
      </c>
      <c r="L93" s="5" cm="1">
        <f t="array" ref="L93">INDEX(products!$B$2:$E$49,MATCH($D93,products!$A$2:$A$49,0),COLUMN(D92))</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f>
        <v>Hamish MacSherry</v>
      </c>
      <c r="G94" s="2" t="str">
        <f>IF(_xlfn.XLOOKUP(C94,customers!$A$1:$A$1001,customers!$C$1:$C$1001,,0)=0,"",(_xlfn.XLOOKUP(C94,customers!$A$1:$A$1001,customers!$C$1:$C$1001,,0)))</f>
        <v/>
      </c>
      <c r="H94" s="2" t="str">
        <f>_xlfn.XLOOKUP(C94,customers!$A$1:$A$1001,customers!$G$1:$G$1001,,0)</f>
        <v>United States</v>
      </c>
      <c r="I94" t="str">
        <f>INDEX(products!$A$1:$G$49,MATCH($D94,products!$A$1:$A$49,0),MATCH(I$1,products!$A$1:$G$1,0))</f>
        <v>Exc</v>
      </c>
      <c r="J94" t="str" cm="1">
        <f t="array" ref="J94">INDEX(products!$B$2:$E$49,MATCH($D94,products!$A$2:$A$49,0),COLUMN(B93))</f>
        <v>L</v>
      </c>
      <c r="K94" s="4" cm="1">
        <f t="array" ref="K94">INDEX(products!$B$2:$E$49,MATCH($D94,products!$A$2:$A$49,0),COLUMN(C93))</f>
        <v>1</v>
      </c>
      <c r="L94" s="5" cm="1">
        <f t="array" ref="L94">INDEX(products!$B$2:$E$49,MATCH($D94,products!$A$2:$A$49,0),COLUMN(D93))</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INDEX(products!$A$1:$G$49,MATCH($D95,products!$A$1:$A$49,0),MATCH(I$1,products!$A$1:$G$1,0))</f>
        <v>Exc</v>
      </c>
      <c r="J95" t="str" cm="1">
        <f t="array" ref="J95">INDEX(products!$B$2:$E$49,MATCH($D95,products!$A$2:$A$49,0),COLUMN(B94))</f>
        <v>L</v>
      </c>
      <c r="K95" s="4" cm="1">
        <f t="array" ref="K95">INDEX(products!$B$2:$E$49,MATCH($D95,products!$A$2:$A$49,0),COLUMN(C94))</f>
        <v>0.5</v>
      </c>
      <c r="L95" s="5" cm="1">
        <f t="array" ref="L95">INDEX(products!$B$2:$E$49,MATCH($D95,products!$A$2:$A$49,0),COLUMN(D94))</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f>
        <v>Rudy Farquharson</v>
      </c>
      <c r="G96" s="2" t="str">
        <f>IF(_xlfn.XLOOKUP(C96,customers!$A$1:$A$1001,customers!$C$1:$C$1001,,0)=0,"",(_xlfn.XLOOKUP(C96,customers!$A$1:$A$1001,customers!$C$1:$C$1001,,0)))</f>
        <v/>
      </c>
      <c r="H96" s="2" t="str">
        <f>_xlfn.XLOOKUP(C96,customers!$A$1:$A$1001,customers!$G$1:$G$1001,,0)</f>
        <v>Ireland</v>
      </c>
      <c r="I96" t="str">
        <f>INDEX(products!$A$1:$G$49,MATCH($D96,products!$A$1:$A$49,0),MATCH(I$1,products!$A$1:$G$1,0))</f>
        <v>Ara</v>
      </c>
      <c r="J96" t="str" cm="1">
        <f t="array" ref="J96">INDEX(products!$B$2:$E$49,MATCH($D96,products!$A$2:$A$49,0),COLUMN(B95))</f>
        <v>D</v>
      </c>
      <c r="K96" s="4" cm="1">
        <f t="array" ref="K96">INDEX(products!$B$2:$E$49,MATCH($D96,products!$A$2:$A$49,0),COLUMN(C95))</f>
        <v>0.2</v>
      </c>
      <c r="L96" s="5" cm="1">
        <f t="array" ref="L96">INDEX(products!$B$2:$E$49,MATCH($D96,products!$A$2:$A$49,0),COLUMN(D95))</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f>
        <v>Norene Magauran</v>
      </c>
      <c r="G97" s="2" t="str">
        <f>IF(_xlfn.XLOOKUP(C97,customers!$A$1:$A$1001,customers!$C$1:$C$1001,,0)=0,"",(_xlfn.XLOOKUP(C97,customers!$A$1:$A$1001,customers!$C$1:$C$1001,,0)))</f>
        <v>nmagauran2n@51.la</v>
      </c>
      <c r="H97" s="2" t="str">
        <f>_xlfn.XLOOKUP(C97,customers!$A$1:$A$1001,customers!$G$1:$G$1001,,0)</f>
        <v>United States</v>
      </c>
      <c r="I97" t="str">
        <f>INDEX(products!$A$1:$G$49,MATCH($D97,products!$A$1:$A$49,0),MATCH(I$1,products!$A$1:$G$1,0))</f>
        <v>Ara</v>
      </c>
      <c r="J97" t="str" cm="1">
        <f t="array" ref="J97">INDEX(products!$B$2:$E$49,MATCH($D97,products!$A$2:$A$49,0),COLUMN(B96))</f>
        <v>M</v>
      </c>
      <c r="K97" s="4" cm="1">
        <f t="array" ref="K97">INDEX(products!$B$2:$E$49,MATCH($D97,products!$A$2:$A$49,0),COLUMN(C96))</f>
        <v>2.5</v>
      </c>
      <c r="L97" s="5" cm="1">
        <f t="array" ref="L97">INDEX(products!$B$2:$E$49,MATCH($D97,products!$A$2:$A$49,0),COLUMN(D96))</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INDEX(products!$A$1:$G$49,MATCH($D98,products!$A$1:$A$49,0),MATCH(I$1,products!$A$1:$G$1,0))</f>
        <v>Ara</v>
      </c>
      <c r="J98" t="str" cm="1">
        <f t="array" ref="J98">INDEX(products!$B$2:$E$49,MATCH($D98,products!$A$2:$A$49,0),COLUMN(B97))</f>
        <v>D</v>
      </c>
      <c r="K98" s="4" cm="1">
        <f t="array" ref="K98">INDEX(products!$B$2:$E$49,MATCH($D98,products!$A$2:$A$49,0),COLUMN(C97))</f>
        <v>0.2</v>
      </c>
      <c r="L98" s="5" cm="1">
        <f t="array" ref="L98">INDEX(products!$B$2:$E$49,MATCH($D98,products!$A$2:$A$49,0),COLUMN(D97))</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f>
        <v>Ilysa Whapple</v>
      </c>
      <c r="G99" s="2" t="str">
        <f>IF(_xlfn.XLOOKUP(C99,customers!$A$1:$A$1001,customers!$C$1:$C$1001,,0)=0,"",(_xlfn.XLOOKUP(C99,customers!$A$1:$A$1001,customers!$C$1:$C$1001,,0)))</f>
        <v>iwhapple2p@com.com</v>
      </c>
      <c r="H99" s="2" t="str">
        <f>_xlfn.XLOOKUP(C99,customers!$A$1:$A$1001,customers!$G$1:$G$1001,,0)</f>
        <v>United States</v>
      </c>
      <c r="I99" t="str">
        <f>INDEX(products!$A$1:$G$49,MATCH($D99,products!$A$1:$A$49,0),MATCH(I$1,products!$A$1:$G$1,0))</f>
        <v>Ara</v>
      </c>
      <c r="J99" t="str" cm="1">
        <f t="array" ref="J99">INDEX(products!$B$2:$E$49,MATCH($D99,products!$A$2:$A$49,0),COLUMN(B98))</f>
        <v>M</v>
      </c>
      <c r="K99" s="4" cm="1">
        <f t="array" ref="K99">INDEX(products!$B$2:$E$49,MATCH($D99,products!$A$2:$A$49,0),COLUMN(C98))</f>
        <v>0.5</v>
      </c>
      <c r="L99" s="5" cm="1">
        <f t="array" ref="L99">INDEX(products!$B$2:$E$49,MATCH($D99,products!$A$2:$A$49,0),COLUMN(D98))</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f>
        <v>Ruy Cancellieri</v>
      </c>
      <c r="G100" s="2" t="str">
        <f>IF(_xlfn.XLOOKUP(C100,customers!$A$1:$A$1001,customers!$C$1:$C$1001,,0)=0,"",(_xlfn.XLOOKUP(C100,customers!$A$1:$A$1001,customers!$C$1:$C$1001,,0)))</f>
        <v/>
      </c>
      <c r="H100" s="2" t="str">
        <f>_xlfn.XLOOKUP(C100,customers!$A$1:$A$1001,customers!$G$1:$G$1001,,0)</f>
        <v>Ireland</v>
      </c>
      <c r="I100" t="str">
        <f>INDEX(products!$A$1:$G$49,MATCH($D100,products!$A$1:$A$49,0),MATCH(I$1,products!$A$1:$G$1,0))</f>
        <v>Ara</v>
      </c>
      <c r="J100" t="str" cm="1">
        <f t="array" ref="J100">INDEX(products!$B$2:$E$49,MATCH($D100,products!$A$2:$A$49,0),COLUMN(B99))</f>
        <v>D</v>
      </c>
      <c r="K100" s="4" cm="1">
        <f t="array" ref="K100">INDEX(products!$B$2:$E$49,MATCH($D100,products!$A$2:$A$49,0),COLUMN(C99))</f>
        <v>0.2</v>
      </c>
      <c r="L100" s="5" cm="1">
        <f t="array" ref="L100">INDEX(products!$B$2:$E$49,MATCH($D100,products!$A$2:$A$49,0),COLUMN(D99))</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f>
        <v>Aube Follett</v>
      </c>
      <c r="G101" s="2" t="str">
        <f>IF(_xlfn.XLOOKUP(C101,customers!$A$1:$A$1001,customers!$C$1:$C$1001,,0)=0,"",(_xlfn.XLOOKUP(C101,customers!$A$1:$A$1001,customers!$C$1:$C$1001,,0)))</f>
        <v/>
      </c>
      <c r="H101" s="2" t="str">
        <f>_xlfn.XLOOKUP(C101,customers!$A$1:$A$1001,customers!$G$1:$G$1001,,0)</f>
        <v>United States</v>
      </c>
      <c r="I101" t="str">
        <f>INDEX(products!$A$1:$G$49,MATCH($D101,products!$A$1:$A$49,0),MATCH(I$1,products!$A$1:$G$1,0))</f>
        <v>Lib</v>
      </c>
      <c r="J101" t="str" cm="1">
        <f t="array" ref="J101">INDEX(products!$B$2:$E$49,MATCH($D101,products!$A$2:$A$49,0),COLUMN(B100))</f>
        <v>M</v>
      </c>
      <c r="K101" s="4" cm="1">
        <f t="array" ref="K101">INDEX(products!$B$2:$E$49,MATCH($D101,products!$A$2:$A$49,0),COLUMN(C100))</f>
        <v>0.2</v>
      </c>
      <c r="L101" s="5" cm="1">
        <f t="array" ref="L101">INDEX(products!$B$2:$E$49,MATCH($D101,products!$A$2:$A$49,0),COLUMN(D100))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f>
        <v>Rudiger Di Bartolomeo</v>
      </c>
      <c r="G102" s="2" t="str">
        <f>IF(_xlfn.XLOOKUP(C102,customers!$A$1:$A$1001,customers!$C$1:$C$1001,,0)=0,"",(_xlfn.XLOOKUP(C102,customers!$A$1:$A$1001,customers!$C$1:$C$1001,,0)))</f>
        <v/>
      </c>
      <c r="H102" s="2" t="str">
        <f>_xlfn.XLOOKUP(C102,customers!$A$1:$A$1001,customers!$G$1:$G$1001,,0)</f>
        <v>United States</v>
      </c>
      <c r="I102" t="str">
        <f>INDEX(products!$A$1:$G$49,MATCH($D102,products!$A$1:$A$49,0),MATCH(I$1,products!$A$1:$G$1,0))</f>
        <v>Ara</v>
      </c>
      <c r="J102" t="str" cm="1">
        <f t="array" ref="J102">INDEX(products!$B$2:$E$49,MATCH($D102,products!$A$2:$A$49,0),COLUMN(B101))</f>
        <v>L</v>
      </c>
      <c r="K102" s="4" cm="1">
        <f t="array" ref="K102">INDEX(products!$B$2:$E$49,MATCH($D102,products!$A$2:$A$49,0),COLUMN(C101))</f>
        <v>0.2</v>
      </c>
      <c r="L102" s="5" cm="1">
        <f t="array" ref="L102">INDEX(products!$B$2:$E$49,MATCH($D102,products!$A$2:$A$49,0),COLUMN(D101))</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INDEX(products!$A$1:$G$49,MATCH($D103,products!$A$1:$A$49,0),MATCH(I$1,products!$A$1:$G$1,0))</f>
        <v>Lib</v>
      </c>
      <c r="J103" t="str" cm="1">
        <f t="array" ref="J103">INDEX(products!$B$2:$E$49,MATCH($D103,products!$A$2:$A$49,0),COLUMN(B102))</f>
        <v>D</v>
      </c>
      <c r="K103" s="4" cm="1">
        <f t="array" ref="K103">INDEX(products!$B$2:$E$49,MATCH($D103,products!$A$2:$A$49,0),COLUMN(C102))</f>
        <v>2.5</v>
      </c>
      <c r="L103" s="5" cm="1">
        <f t="array" ref="L103">INDEX(products!$B$2:$E$49,MATCH($D103,products!$A$2:$A$49,0),COLUMN(D102))</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INDEX(products!$A$1:$G$49,MATCH($D104,products!$A$1:$A$49,0),MATCH(I$1,products!$A$1:$G$1,0))</f>
        <v>Lib</v>
      </c>
      <c r="J104" t="str" cm="1">
        <f t="array" ref="J104">INDEX(products!$B$2:$E$49,MATCH($D104,products!$A$2:$A$49,0),COLUMN(B103))</f>
        <v>D</v>
      </c>
      <c r="K104" s="4" cm="1">
        <f t="array" ref="K104">INDEX(products!$B$2:$E$49,MATCH($D104,products!$A$2:$A$49,0),COLUMN(C103))</f>
        <v>1</v>
      </c>
      <c r="L104" s="5" cm="1">
        <f t="array" ref="L104">INDEX(products!$B$2:$E$49,MATCH($D104,products!$A$2:$A$49,0),COLUMN(D103))</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INDEX(products!$A$1:$G$49,MATCH($D105,products!$A$1:$A$49,0),MATCH(I$1,products!$A$1:$G$1,0))</f>
        <v>Rob</v>
      </c>
      <c r="J105" t="str" cm="1">
        <f t="array" ref="J105">INDEX(products!$B$2:$E$49,MATCH($D105,products!$A$2:$A$49,0),COLUMN(B104))</f>
        <v>M</v>
      </c>
      <c r="K105" s="4" cm="1">
        <f t="array" ref="K105">INDEX(products!$B$2:$E$49,MATCH($D105,products!$A$2:$A$49,0),COLUMN(C104))</f>
        <v>0.2</v>
      </c>
      <c r="L105" s="5" cm="1">
        <f t="array" ref="L105">INDEX(products!$B$2:$E$49,MATCH($D105,products!$A$2:$A$49,0),COLUMN(D104))</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INDEX(products!$A$1:$G$49,MATCH($D106,products!$A$1:$A$49,0),MATCH(I$1,products!$A$1:$G$1,0))</f>
        <v>Lib</v>
      </c>
      <c r="J106" t="str" cm="1">
        <f t="array" ref="J106">INDEX(products!$B$2:$E$49,MATCH($D106,products!$A$2:$A$49,0),COLUMN(B105))</f>
        <v>M</v>
      </c>
      <c r="K106" s="4" cm="1">
        <f t="array" ref="K106">INDEX(products!$B$2:$E$49,MATCH($D106,products!$A$2:$A$49,0),COLUMN(C105))</f>
        <v>1</v>
      </c>
      <c r="L106" s="5" cm="1">
        <f t="array" ref="L106">INDEX(products!$B$2:$E$49,MATCH($D106,products!$A$2:$A$49,0),COLUMN(D105))</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INDEX(products!$A$1:$G$49,MATCH($D107,products!$A$1:$A$49,0),MATCH(I$1,products!$A$1:$G$1,0))</f>
        <v>Ara</v>
      </c>
      <c r="J107" t="str" cm="1">
        <f t="array" ref="J107">INDEX(products!$B$2:$E$49,MATCH($D107,products!$A$2:$A$49,0),COLUMN(B106))</f>
        <v>M</v>
      </c>
      <c r="K107" s="4" cm="1">
        <f t="array" ref="K107">INDEX(products!$B$2:$E$49,MATCH($D107,products!$A$2:$A$49,0),COLUMN(C106))</f>
        <v>0.5</v>
      </c>
      <c r="L107" s="5" cm="1">
        <f t="array" ref="L107">INDEX(products!$B$2:$E$49,MATCH($D107,products!$A$2:$A$49,0),COLUMN(D106))</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INDEX(products!$A$1:$G$49,MATCH($D108,products!$A$1:$A$49,0),MATCH(I$1,products!$A$1:$G$1,0))</f>
        <v>Exc</v>
      </c>
      <c r="J108" t="str" cm="1">
        <f t="array" ref="J108">INDEX(products!$B$2:$E$49,MATCH($D108,products!$A$2:$A$49,0),COLUMN(B107))</f>
        <v>D</v>
      </c>
      <c r="K108" s="4" cm="1">
        <f t="array" ref="K108">INDEX(products!$B$2:$E$49,MATCH($D108,products!$A$2:$A$49,0),COLUMN(C107))</f>
        <v>1</v>
      </c>
      <c r="L108" s="5" cm="1">
        <f t="array" ref="L108">INDEX(products!$B$2:$E$49,MATCH($D108,products!$A$2:$A$49,0),COLUMN(D107))</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INDEX(products!$A$1:$G$49,MATCH($D109,products!$A$1:$A$49,0),MATCH(I$1,products!$A$1:$G$1,0))</f>
        <v>Rob</v>
      </c>
      <c r="J109" t="str" cm="1">
        <f t="array" ref="J109">INDEX(products!$B$2:$E$49,MATCH($D109,products!$A$2:$A$49,0),COLUMN(B108))</f>
        <v>M</v>
      </c>
      <c r="K109" s="4" cm="1">
        <f t="array" ref="K109">INDEX(products!$B$2:$E$49,MATCH($D109,products!$A$2:$A$49,0),COLUMN(C108))</f>
        <v>0.5</v>
      </c>
      <c r="L109" s="5" cm="1">
        <f t="array" ref="L109">INDEX(products!$B$2:$E$49,MATCH($D109,products!$A$2:$A$49,0),COLUMN(D108))</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f>
        <v>Isahella Hagland</v>
      </c>
      <c r="G110" s="2" t="str">
        <f>IF(_xlfn.XLOOKUP(C110,customers!$A$1:$A$1001,customers!$C$1:$C$1001,,0)=0,"",(_xlfn.XLOOKUP(C110,customers!$A$1:$A$1001,customers!$C$1:$C$1001,,0)))</f>
        <v/>
      </c>
      <c r="H110" s="2" t="str">
        <f>_xlfn.XLOOKUP(C110,customers!$A$1:$A$1001,customers!$G$1:$G$1001,,0)</f>
        <v>United States</v>
      </c>
      <c r="I110" t="str">
        <f>INDEX(products!$A$1:$G$49,MATCH($D110,products!$A$1:$A$49,0),MATCH(I$1,products!$A$1:$G$1,0))</f>
        <v>Ara</v>
      </c>
      <c r="J110" t="str" cm="1">
        <f t="array" ref="J110">INDEX(products!$B$2:$E$49,MATCH($D110,products!$A$2:$A$49,0),COLUMN(B109))</f>
        <v>M</v>
      </c>
      <c r="K110" s="4" cm="1">
        <f t="array" ref="K110">INDEX(products!$B$2:$E$49,MATCH($D110,products!$A$2:$A$49,0),COLUMN(C109))</f>
        <v>0.5</v>
      </c>
      <c r="L110" s="5" cm="1">
        <f t="array" ref="L110">INDEX(products!$B$2:$E$49,MATCH($D110,products!$A$2:$A$49,0),COLUMN(D109))</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INDEX(products!$A$1:$G$49,MATCH($D111,products!$A$1:$A$49,0),MATCH(I$1,products!$A$1:$G$1,0))</f>
        <v>Lib</v>
      </c>
      <c r="J111" t="str" cm="1">
        <f t="array" ref="J111">INDEX(products!$B$2:$E$49,MATCH($D111,products!$A$2:$A$49,0),COLUMN(B110))</f>
        <v>D</v>
      </c>
      <c r="K111" s="4" cm="1">
        <f t="array" ref="K111">INDEX(products!$B$2:$E$49,MATCH($D111,products!$A$2:$A$49,0),COLUMN(C110))</f>
        <v>0.5</v>
      </c>
      <c r="L111" s="5" cm="1">
        <f t="array" ref="L111">INDEX(products!$B$2:$E$49,MATCH($D111,products!$A$2:$A$49,0),COLUMN(D110))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INDEX(products!$A$1:$G$49,MATCH($D112,products!$A$1:$A$49,0),MATCH(I$1,products!$A$1:$G$1,0))</f>
        <v>Exc</v>
      </c>
      <c r="J112" t="str" cm="1">
        <f t="array" ref="J112">INDEX(products!$B$2:$E$49,MATCH($D112,products!$A$2:$A$49,0),COLUMN(B111))</f>
        <v>L</v>
      </c>
      <c r="K112" s="4" cm="1">
        <f t="array" ref="K112">INDEX(products!$B$2:$E$49,MATCH($D112,products!$A$2:$A$49,0),COLUMN(C111))</f>
        <v>0.2</v>
      </c>
      <c r="L112" s="5" cm="1">
        <f t="array" ref="L112">INDEX(products!$B$2:$E$49,MATCH($D112,products!$A$2:$A$49,0),COLUMN(D111))</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INDEX(products!$A$1:$G$49,MATCH($D113,products!$A$1:$A$49,0),MATCH(I$1,products!$A$1:$G$1,0))</f>
        <v>Rob</v>
      </c>
      <c r="J113" t="str" cm="1">
        <f t="array" ref="J113">INDEX(products!$B$2:$E$49,MATCH($D113,products!$A$2:$A$49,0),COLUMN(B112))</f>
        <v>D</v>
      </c>
      <c r="K113" s="4" cm="1">
        <f t="array" ref="K113">INDEX(products!$B$2:$E$49,MATCH($D113,products!$A$2:$A$49,0),COLUMN(C112))</f>
        <v>0.5</v>
      </c>
      <c r="L113" s="5" cm="1">
        <f t="array" ref="L113">INDEX(products!$B$2:$E$49,MATCH($D113,products!$A$2:$A$49,0),COLUMN(D112))</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INDEX(products!$A$1:$G$49,MATCH($D114,products!$A$1:$A$49,0),MATCH(I$1,products!$A$1:$G$1,0))</f>
        <v>Ara</v>
      </c>
      <c r="J114" t="str" cm="1">
        <f t="array" ref="J114">INDEX(products!$B$2:$E$49,MATCH($D114,products!$A$2:$A$49,0),COLUMN(B113))</f>
        <v>M</v>
      </c>
      <c r="K114" s="4" cm="1">
        <f t="array" ref="K114">INDEX(products!$B$2:$E$49,MATCH($D114,products!$A$2:$A$49,0),COLUMN(C113))</f>
        <v>1</v>
      </c>
      <c r="L114" s="5" cm="1">
        <f t="array" ref="L114">INDEX(products!$B$2:$E$49,MATCH($D114,products!$A$2:$A$49,0),COLUMN(D113))</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INDEX(products!$A$1:$G$49,MATCH($D115,products!$A$1:$A$49,0),MATCH(I$1,products!$A$1:$G$1,0))</f>
        <v>Lib</v>
      </c>
      <c r="J115" t="str" cm="1">
        <f t="array" ref="J115">INDEX(products!$B$2:$E$49,MATCH($D115,products!$A$2:$A$49,0),COLUMN(B114))</f>
        <v>M</v>
      </c>
      <c r="K115" s="4" cm="1">
        <f t="array" ref="K115">INDEX(products!$B$2:$E$49,MATCH($D115,products!$A$2:$A$49,0),COLUMN(C114))</f>
        <v>1</v>
      </c>
      <c r="L115" s="5" cm="1">
        <f t="array" ref="L115">INDEX(products!$B$2:$E$49,MATCH($D115,products!$A$2:$A$49,0),COLUMN(D114))</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f>
        <v>Carmina Hubbuck</v>
      </c>
      <c r="G116" s="2" t="str">
        <f>IF(_xlfn.XLOOKUP(C116,customers!$A$1:$A$1001,customers!$C$1:$C$1001,,0)=0,"",(_xlfn.XLOOKUP(C116,customers!$A$1:$A$1001,customers!$C$1:$C$1001,,0)))</f>
        <v/>
      </c>
      <c r="H116" s="2" t="str">
        <f>_xlfn.XLOOKUP(C116,customers!$A$1:$A$1001,customers!$G$1:$G$1001,,0)</f>
        <v>United States</v>
      </c>
      <c r="I116" t="str">
        <f>INDEX(products!$A$1:$G$49,MATCH($D116,products!$A$1:$A$49,0),MATCH(I$1,products!$A$1:$G$1,0))</f>
        <v>Rob</v>
      </c>
      <c r="J116" t="str" cm="1">
        <f t="array" ref="J116">INDEX(products!$B$2:$E$49,MATCH($D116,products!$A$2:$A$49,0),COLUMN(B115))</f>
        <v>L</v>
      </c>
      <c r="K116" s="4" cm="1">
        <f t="array" ref="K116">INDEX(products!$B$2:$E$49,MATCH($D116,products!$A$2:$A$49,0),COLUMN(C115))</f>
        <v>0.2</v>
      </c>
      <c r="L116" s="5" cm="1">
        <f t="array" ref="L116">INDEX(products!$B$2:$E$49,MATCH($D116,products!$A$2:$A$49,0),COLUMN(D115))</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INDEX(products!$A$1:$G$49,MATCH($D117,products!$A$1:$A$49,0),MATCH(I$1,products!$A$1:$G$1,0))</f>
        <v>Lib</v>
      </c>
      <c r="J117" t="str" cm="1">
        <f t="array" ref="J117">INDEX(products!$B$2:$E$49,MATCH($D117,products!$A$2:$A$49,0),COLUMN(B116))</f>
        <v>L</v>
      </c>
      <c r="K117" s="4" cm="1">
        <f t="array" ref="K117">INDEX(products!$B$2:$E$49,MATCH($D117,products!$A$2:$A$49,0),COLUMN(C116))</f>
        <v>1</v>
      </c>
      <c r="L117" s="5" cm="1">
        <f t="array" ref="L117">INDEX(products!$B$2:$E$49,MATCH($D117,products!$A$2:$A$49,0),COLUMN(D116))</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INDEX(products!$A$1:$G$49,MATCH($D118,products!$A$1:$A$49,0),MATCH(I$1,products!$A$1:$G$1,0))</f>
        <v>Lib</v>
      </c>
      <c r="J118" t="str" cm="1">
        <f t="array" ref="J118">INDEX(products!$B$2:$E$49,MATCH($D118,products!$A$2:$A$49,0),COLUMN(B117))</f>
        <v>L</v>
      </c>
      <c r="K118" s="4" cm="1">
        <f t="array" ref="K118">INDEX(products!$B$2:$E$49,MATCH($D118,products!$A$2:$A$49,0),COLUMN(C117))</f>
        <v>0.2</v>
      </c>
      <c r="L118" s="5" cm="1">
        <f t="array" ref="L118">INDEX(products!$B$2:$E$49,MATCH($D118,products!$A$2:$A$49,0),COLUMN(D117))</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INDEX(products!$A$1:$G$49,MATCH($D119,products!$A$1:$A$49,0),MATCH(I$1,products!$A$1:$G$1,0))</f>
        <v>Lib</v>
      </c>
      <c r="J119" t="str" cm="1">
        <f t="array" ref="J119">INDEX(products!$B$2:$E$49,MATCH($D119,products!$A$2:$A$49,0),COLUMN(B118))</f>
        <v>L</v>
      </c>
      <c r="K119" s="4" cm="1">
        <f t="array" ref="K119">INDEX(products!$B$2:$E$49,MATCH($D119,products!$A$2:$A$49,0),COLUMN(C118))</f>
        <v>0.5</v>
      </c>
      <c r="L119" s="5" cm="1">
        <f t="array" ref="L119">INDEX(products!$B$2:$E$49,MATCH($D119,products!$A$2:$A$49,0),COLUMN(D118))</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INDEX(products!$A$1:$G$49,MATCH($D120,products!$A$1:$A$49,0),MATCH(I$1,products!$A$1:$G$1,0))</f>
        <v>Exc</v>
      </c>
      <c r="J120" t="str" cm="1">
        <f t="array" ref="J120">INDEX(products!$B$2:$E$49,MATCH($D120,products!$A$2:$A$49,0),COLUMN(B119))</f>
        <v>D</v>
      </c>
      <c r="K120" s="4" cm="1">
        <f t="array" ref="K120">INDEX(products!$B$2:$E$49,MATCH($D120,products!$A$2:$A$49,0),COLUMN(C119))</f>
        <v>0.5</v>
      </c>
      <c r="L120" s="5" cm="1">
        <f t="array" ref="L120">INDEX(products!$B$2:$E$49,MATCH($D120,products!$A$2:$A$49,0),COLUMN(D119))</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INDEX(products!$A$1:$G$49,MATCH($D121,products!$A$1:$A$49,0),MATCH(I$1,products!$A$1:$G$1,0))</f>
        <v>Exc</v>
      </c>
      <c r="J121" t="str" cm="1">
        <f t="array" ref="J121">INDEX(products!$B$2:$E$49,MATCH($D121,products!$A$2:$A$49,0),COLUMN(B120))</f>
        <v>M</v>
      </c>
      <c r="K121" s="4" cm="1">
        <f t="array" ref="K121">INDEX(products!$B$2:$E$49,MATCH($D121,products!$A$2:$A$49,0),COLUMN(C120))</f>
        <v>0.2</v>
      </c>
      <c r="L121" s="5" cm="1">
        <f t="array" ref="L121">INDEX(products!$B$2:$E$49,MATCH($D121,products!$A$2:$A$49,0),COLUMN(D120))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INDEX(products!$A$1:$G$49,MATCH($D122,products!$A$1:$A$49,0),MATCH(I$1,products!$A$1:$G$1,0))</f>
        <v>Ara</v>
      </c>
      <c r="J122" t="str" cm="1">
        <f t="array" ref="J122">INDEX(products!$B$2:$E$49,MATCH($D122,products!$A$2:$A$49,0),COLUMN(B121))</f>
        <v>L</v>
      </c>
      <c r="K122" s="4" cm="1">
        <f t="array" ref="K122">INDEX(products!$B$2:$E$49,MATCH($D122,products!$A$2:$A$49,0),COLUMN(C121))</f>
        <v>0.2</v>
      </c>
      <c r="L122" s="5" cm="1">
        <f t="array" ref="L122">INDEX(products!$B$2:$E$49,MATCH($D122,products!$A$2:$A$49,0),COLUMN(D121))</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INDEX(products!$A$1:$G$49,MATCH($D123,products!$A$1:$A$49,0),MATCH(I$1,products!$A$1:$G$1,0))</f>
        <v>Exc</v>
      </c>
      <c r="J123" t="str" cm="1">
        <f t="array" ref="J123">INDEX(products!$B$2:$E$49,MATCH($D123,products!$A$2:$A$49,0),COLUMN(B122))</f>
        <v>M</v>
      </c>
      <c r="K123" s="4" cm="1">
        <f t="array" ref="K123">INDEX(products!$B$2:$E$49,MATCH($D123,products!$A$2:$A$49,0),COLUMN(C122))</f>
        <v>1</v>
      </c>
      <c r="L123" s="5" cm="1">
        <f t="array" ref="L123">INDEX(products!$B$2:$E$49,MATCH($D123,products!$A$2:$A$49,0),COLUMN(D122))</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INDEX(products!$A$1:$G$49,MATCH($D124,products!$A$1:$A$49,0),MATCH(I$1,products!$A$1:$G$1,0))</f>
        <v>Ara</v>
      </c>
      <c r="J124" t="str" cm="1">
        <f t="array" ref="J124">INDEX(products!$B$2:$E$49,MATCH($D124,products!$A$2:$A$49,0),COLUMN(B123))</f>
        <v>D</v>
      </c>
      <c r="K124" s="4" cm="1">
        <f t="array" ref="K124">INDEX(products!$B$2:$E$49,MATCH($D124,products!$A$2:$A$49,0),COLUMN(C123))</f>
        <v>0.5</v>
      </c>
      <c r="L124" s="5" cm="1">
        <f t="array" ref="L124">INDEX(products!$B$2:$E$49,MATCH($D124,products!$A$2:$A$49,0),COLUMN(D123))</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INDEX(products!$A$1:$G$49,MATCH($D125,products!$A$1:$A$49,0),MATCH(I$1,products!$A$1:$G$1,0))</f>
        <v>Lib</v>
      </c>
      <c r="J125" t="str" cm="1">
        <f t="array" ref="J125">INDEX(products!$B$2:$E$49,MATCH($D125,products!$A$2:$A$49,0),COLUMN(B124))</f>
        <v>L</v>
      </c>
      <c r="K125" s="4" cm="1">
        <f t="array" ref="K125">INDEX(products!$B$2:$E$49,MATCH($D125,products!$A$2:$A$49,0),COLUMN(C124))</f>
        <v>2.5</v>
      </c>
      <c r="L125" s="5" cm="1">
        <f t="array" ref="L125">INDEX(products!$B$2:$E$49,MATCH($D125,products!$A$2:$A$49,0),COLUMN(D124))</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INDEX(products!$A$1:$G$49,MATCH($D126,products!$A$1:$A$49,0),MATCH(I$1,products!$A$1:$G$1,0))</f>
        <v>Lib</v>
      </c>
      <c r="J126" t="str" cm="1">
        <f t="array" ref="J126">INDEX(products!$B$2:$E$49,MATCH($D126,products!$A$2:$A$49,0),COLUMN(B125))</f>
        <v>M</v>
      </c>
      <c r="K126" s="4" cm="1">
        <f t="array" ref="K126">INDEX(products!$B$2:$E$49,MATCH($D126,products!$A$2:$A$49,0),COLUMN(C125))</f>
        <v>0.2</v>
      </c>
      <c r="L126" s="5" cm="1">
        <f t="array" ref="L126">INDEX(products!$B$2:$E$49,MATCH($D126,products!$A$2:$A$49,0),COLUMN(D125))</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INDEX(products!$A$1:$G$49,MATCH($D127,products!$A$1:$A$49,0),MATCH(I$1,products!$A$1:$G$1,0))</f>
        <v>Lib</v>
      </c>
      <c r="J127" t="str" cm="1">
        <f t="array" ref="J127">INDEX(products!$B$2:$E$49,MATCH($D127,products!$A$2:$A$49,0),COLUMN(B126))</f>
        <v>M</v>
      </c>
      <c r="K127" s="4" cm="1">
        <f t="array" ref="K127">INDEX(products!$B$2:$E$49,MATCH($D127,products!$A$2:$A$49,0),COLUMN(C126))</f>
        <v>0.5</v>
      </c>
      <c r="L127" s="5" cm="1">
        <f t="array" ref="L127">INDEX(products!$B$2:$E$49,MATCH($D127,products!$A$2:$A$49,0),COLUMN(D126))</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INDEX(products!$A$1:$G$49,MATCH($D128,products!$A$1:$A$49,0),MATCH(I$1,products!$A$1:$G$1,0))</f>
        <v>Ara</v>
      </c>
      <c r="J128" t="str" cm="1">
        <f t="array" ref="J128">INDEX(products!$B$2:$E$49,MATCH($D128,products!$A$2:$A$49,0),COLUMN(B127))</f>
        <v>M</v>
      </c>
      <c r="K128" s="4" cm="1">
        <f t="array" ref="K128">INDEX(products!$B$2:$E$49,MATCH($D128,products!$A$2:$A$49,0),COLUMN(C127))</f>
        <v>1</v>
      </c>
      <c r="L128" s="5" cm="1">
        <f t="array" ref="L128">INDEX(products!$B$2:$E$49,MATCH($D128,products!$A$2:$A$49,0),COLUMN(D127))</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INDEX(products!$A$1:$G$49,MATCH($D129,products!$A$1:$A$49,0),MATCH(I$1,products!$A$1:$G$1,0))</f>
        <v>Lib</v>
      </c>
      <c r="J129" t="str" cm="1">
        <f t="array" ref="J129">INDEX(products!$B$2:$E$49,MATCH($D129,products!$A$2:$A$49,0),COLUMN(B128))</f>
        <v>D</v>
      </c>
      <c r="K129" s="4" cm="1">
        <f t="array" ref="K129">INDEX(products!$B$2:$E$49,MATCH($D129,products!$A$2:$A$49,0),COLUMN(C128))</f>
        <v>1</v>
      </c>
      <c r="L129" s="5" cm="1">
        <f t="array" ref="L129">INDEX(products!$B$2:$E$49,MATCH($D129,products!$A$2:$A$49,0),COLUMN(D128))</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INDEX(products!$A$1:$G$49,MATCH($D130,products!$A$1:$A$49,0),MATCH(I$1,products!$A$1:$G$1,0))</f>
        <v>Ara</v>
      </c>
      <c r="J130" t="str" cm="1">
        <f t="array" ref="J130">INDEX(products!$B$2:$E$49,MATCH($D130,products!$A$2:$A$49,0),COLUMN(B129))</f>
        <v>M</v>
      </c>
      <c r="K130" s="4" cm="1">
        <f t="array" ref="K130">INDEX(products!$B$2:$E$49,MATCH($D130,products!$A$2:$A$49,0),COLUMN(C129))</f>
        <v>0.5</v>
      </c>
      <c r="L130" s="5" cm="1">
        <f t="array" ref="L130">INDEX(products!$B$2:$E$49,MATCH($D130,products!$A$2:$A$49,0),COLUMN(D129))</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INDEX(products!$A$1:$G$49,MATCH($D131,products!$A$1:$A$49,0),MATCH(I$1,products!$A$1:$G$1,0))</f>
        <v>Exc</v>
      </c>
      <c r="J131" t="str" cm="1">
        <f t="array" ref="J131">INDEX(products!$B$2:$E$49,MATCH($D131,products!$A$2:$A$49,0),COLUMN(B130))</f>
        <v>D</v>
      </c>
      <c r="K131" s="4" cm="1">
        <f t="array" ref="K131">INDEX(products!$B$2:$E$49,MATCH($D131,products!$A$2:$A$49,0),COLUMN(C130))</f>
        <v>1</v>
      </c>
      <c r="L131" s="5" cm="1">
        <f t="array" ref="L131">INDEX(products!$B$2:$E$49,MATCH($D131,products!$A$2:$A$49,0),COLUMN(D130))</f>
        <v>12.15</v>
      </c>
      <c r="M131" s="5">
        <f t="shared" ref="M131:M194" si="6">E131*L131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f>
        <v>Bidget Tremellier</v>
      </c>
      <c r="G132" s="2" t="str">
        <f>IF(_xlfn.XLOOKUP(C132,customers!$A$1:$A$1001,customers!$C$1:$C$1001,,0)=0,"",(_xlfn.XLOOKUP(C132,customers!$A$1:$A$1001,customers!$C$1:$C$1001,,0)))</f>
        <v/>
      </c>
      <c r="H132" s="2" t="str">
        <f>_xlfn.XLOOKUP(C132,customers!$A$1:$A$1001,customers!$G$1:$G$1001,,0)</f>
        <v>Ireland</v>
      </c>
      <c r="I132" t="str">
        <f>INDEX(products!$A$1:$G$49,MATCH($D132,products!$A$1:$A$49,0),MATCH(I$1,products!$A$1:$G$1,0))</f>
        <v>Ara</v>
      </c>
      <c r="J132" t="str" cm="1">
        <f t="array" ref="J132">INDEX(products!$B$2:$E$49,MATCH($D132,products!$A$2:$A$49,0),COLUMN(B131))</f>
        <v>L</v>
      </c>
      <c r="K132" s="4" cm="1">
        <f t="array" ref="K132">INDEX(products!$B$2:$E$49,MATCH($D132,products!$A$2:$A$49,0),COLUMN(C131))</f>
        <v>2.5</v>
      </c>
      <c r="L132" s="5" cm="1">
        <f t="array" ref="L132">INDEX(products!$B$2:$E$49,MATCH($D132,products!$A$2:$A$49,0),COLUMN(D131))</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INDEX(products!$A$1:$G$49,MATCH($D133,products!$A$1:$A$49,0),MATCH(I$1,products!$A$1:$G$1,0))</f>
        <v>Exc</v>
      </c>
      <c r="J133" t="str" cm="1">
        <f t="array" ref="J133">INDEX(products!$B$2:$E$49,MATCH($D133,products!$A$2:$A$49,0),COLUMN(B132))</f>
        <v>D</v>
      </c>
      <c r="K133" s="4" cm="1">
        <f t="array" ref="K133">INDEX(products!$B$2:$E$49,MATCH($D133,products!$A$2:$A$49,0),COLUMN(C132))</f>
        <v>0.5</v>
      </c>
      <c r="L133" s="5" cm="1">
        <f t="array" ref="L133">INDEX(products!$B$2:$E$49,MATCH($D133,products!$A$2:$A$49,0),COLUMN(D132))</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INDEX(products!$A$1:$G$49,MATCH($D134,products!$A$1:$A$49,0),MATCH(I$1,products!$A$1:$G$1,0))</f>
        <v>Ara</v>
      </c>
      <c r="J134" t="str" cm="1">
        <f t="array" ref="J134">INDEX(products!$B$2:$E$49,MATCH($D134,products!$A$2:$A$49,0),COLUMN(B133))</f>
        <v>L</v>
      </c>
      <c r="K134" s="4" cm="1">
        <f t="array" ref="K134">INDEX(products!$B$2:$E$49,MATCH($D134,products!$A$2:$A$49,0),COLUMN(C133))</f>
        <v>2.5</v>
      </c>
      <c r="L134" s="5" cm="1">
        <f t="array" ref="L134">INDEX(products!$B$2:$E$49,MATCH($D134,products!$A$2:$A$49,0),COLUMN(D133))</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INDEX(products!$A$1:$G$49,MATCH($D135,products!$A$1:$A$49,0),MATCH(I$1,products!$A$1:$G$1,0))</f>
        <v>Lib</v>
      </c>
      <c r="J135" t="str" cm="1">
        <f t="array" ref="J135">INDEX(products!$B$2:$E$49,MATCH($D135,products!$A$2:$A$49,0),COLUMN(B134))</f>
        <v>D</v>
      </c>
      <c r="K135" s="4" cm="1">
        <f t="array" ref="K135">INDEX(products!$B$2:$E$49,MATCH($D135,products!$A$2:$A$49,0),COLUMN(C134))</f>
        <v>1</v>
      </c>
      <c r="L135" s="5" cm="1">
        <f t="array" ref="L135">INDEX(products!$B$2:$E$49,MATCH($D135,products!$A$2:$A$49,0),COLUMN(D134))</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f>
        <v>Ewell Hanby</v>
      </c>
      <c r="G136" s="2" t="str">
        <f>IF(_xlfn.XLOOKUP(C136,customers!$A$1:$A$1001,customers!$C$1:$C$1001,,0)=0,"",(_xlfn.XLOOKUP(C136,customers!$A$1:$A$1001,customers!$C$1:$C$1001,,0)))</f>
        <v/>
      </c>
      <c r="H136" s="2" t="str">
        <f>_xlfn.XLOOKUP(C136,customers!$A$1:$A$1001,customers!$G$1:$G$1001,,0)</f>
        <v>United States</v>
      </c>
      <c r="I136" t="str">
        <f>INDEX(products!$A$1:$G$49,MATCH($D136,products!$A$1:$A$49,0),MATCH(I$1,products!$A$1:$G$1,0))</f>
        <v>Exc</v>
      </c>
      <c r="J136" t="str" cm="1">
        <f t="array" ref="J136">INDEX(products!$B$2:$E$49,MATCH($D136,products!$A$2:$A$49,0),COLUMN(B135))</f>
        <v>M</v>
      </c>
      <c r="K136" s="4" cm="1">
        <f t="array" ref="K136">INDEX(products!$B$2:$E$49,MATCH($D136,products!$A$2:$A$49,0),COLUMN(C135))</f>
        <v>2.5</v>
      </c>
      <c r="L136" s="5" cm="1">
        <f t="array" ref="L136">INDEX(products!$B$2:$E$49,MATCH($D136,products!$A$2:$A$49,0),COLUMN(D135))</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INDEX(products!$A$1:$G$49,MATCH($D137,products!$A$1:$A$49,0),MATCH(I$1,products!$A$1:$G$1,0))</f>
        <v>Ara</v>
      </c>
      <c r="J137" t="str" cm="1">
        <f t="array" ref="J137">INDEX(products!$B$2:$E$49,MATCH($D137,products!$A$2:$A$49,0),COLUMN(B136))</f>
        <v>L</v>
      </c>
      <c r="K137" s="4" cm="1">
        <f t="array" ref="K137">INDEX(products!$B$2:$E$49,MATCH($D137,products!$A$2:$A$49,0),COLUMN(C136))</f>
        <v>0.5</v>
      </c>
      <c r="L137" s="5" cm="1">
        <f t="array" ref="L137">INDEX(products!$B$2:$E$49,MATCH($D137,products!$A$2:$A$49,0),COLUMN(D136))</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INDEX(products!$A$1:$G$49,MATCH($D138,products!$A$1:$A$49,0),MATCH(I$1,products!$A$1:$G$1,0))</f>
        <v>Ara</v>
      </c>
      <c r="J138" t="str" cm="1">
        <f t="array" ref="J138">INDEX(products!$B$2:$E$49,MATCH($D138,products!$A$2:$A$49,0),COLUMN(B137))</f>
        <v>D</v>
      </c>
      <c r="K138" s="4" cm="1">
        <f t="array" ref="K138">INDEX(products!$B$2:$E$49,MATCH($D138,products!$A$2:$A$49,0),COLUMN(C137))</f>
        <v>0.2</v>
      </c>
      <c r="L138" s="5" cm="1">
        <f t="array" ref="L138">INDEX(products!$B$2:$E$49,MATCH($D138,products!$A$2:$A$49,0),COLUMN(D137))</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f>
        <v>Elonore Joliffe</v>
      </c>
      <c r="G139" s="2" t="str">
        <f>IF(_xlfn.XLOOKUP(C139,customers!$A$1:$A$1001,customers!$C$1:$C$1001,,0)=0,"",(_xlfn.XLOOKUP(C139,customers!$A$1:$A$1001,customers!$C$1:$C$1001,,0)))</f>
        <v/>
      </c>
      <c r="H139" s="2" t="str">
        <f>_xlfn.XLOOKUP(C139,customers!$A$1:$A$1001,customers!$G$1:$G$1001,,0)</f>
        <v>Ireland</v>
      </c>
      <c r="I139" t="str">
        <f>INDEX(products!$A$1:$G$49,MATCH($D139,products!$A$1:$A$49,0),MATCH(I$1,products!$A$1:$G$1,0))</f>
        <v>Exc</v>
      </c>
      <c r="J139" t="str" cm="1">
        <f t="array" ref="J139">INDEX(products!$B$2:$E$49,MATCH($D139,products!$A$2:$A$49,0),COLUMN(B138))</f>
        <v>L</v>
      </c>
      <c r="K139" s="4" cm="1">
        <f t="array" ref="K139">INDEX(products!$B$2:$E$49,MATCH($D139,products!$A$2:$A$49,0),COLUMN(C138))</f>
        <v>2.5</v>
      </c>
      <c r="L139" s="5" cm="1">
        <f t="array" ref="L139">INDEX(products!$B$2:$E$49,MATCH($D139,products!$A$2:$A$49,0),COLUMN(D138))</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f>
        <v>Abraham Coleman</v>
      </c>
      <c r="G140" s="2" t="str">
        <f>IF(_xlfn.XLOOKUP(C140,customers!$A$1:$A$1001,customers!$C$1:$C$1001,,0)=0,"",(_xlfn.XLOOKUP(C140,customers!$A$1:$A$1001,customers!$C$1:$C$1001,,0)))</f>
        <v/>
      </c>
      <c r="H140" s="2" t="str">
        <f>_xlfn.XLOOKUP(C140,customers!$A$1:$A$1001,customers!$G$1:$G$1001,,0)</f>
        <v>United States</v>
      </c>
      <c r="I140" t="str">
        <f>INDEX(products!$A$1:$G$49,MATCH($D140,products!$A$1:$A$49,0),MATCH(I$1,products!$A$1:$G$1,0))</f>
        <v>Exc</v>
      </c>
      <c r="J140" t="str" cm="1">
        <f t="array" ref="J140">INDEX(products!$B$2:$E$49,MATCH($D140,products!$A$2:$A$49,0),COLUMN(B139))</f>
        <v>D</v>
      </c>
      <c r="K140" s="4" cm="1">
        <f t="array" ref="K140">INDEX(products!$B$2:$E$49,MATCH($D140,products!$A$2:$A$49,0),COLUMN(C139))</f>
        <v>1</v>
      </c>
      <c r="L140" s="5" cm="1">
        <f t="array" ref="L140">INDEX(products!$B$2:$E$49,MATCH($D140,products!$A$2:$A$49,0),COLUMN(D139))</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f>
        <v>Rivy Farington</v>
      </c>
      <c r="G141" s="2" t="str">
        <f>IF(_xlfn.XLOOKUP(C141,customers!$A$1:$A$1001,customers!$C$1:$C$1001,,0)=0,"",(_xlfn.XLOOKUP(C141,customers!$A$1:$A$1001,customers!$C$1:$C$1001,,0)))</f>
        <v/>
      </c>
      <c r="H141" s="2" t="str">
        <f>_xlfn.XLOOKUP(C141,customers!$A$1:$A$1001,customers!$G$1:$G$1001,,0)</f>
        <v>United States</v>
      </c>
      <c r="I141" t="str">
        <f>INDEX(products!$A$1:$G$49,MATCH($D141,products!$A$1:$A$49,0),MATCH(I$1,products!$A$1:$G$1,0))</f>
        <v>Lib</v>
      </c>
      <c r="J141" t="str" cm="1">
        <f t="array" ref="J141">INDEX(products!$B$2:$E$49,MATCH($D141,products!$A$2:$A$49,0),COLUMN(B140))</f>
        <v>D</v>
      </c>
      <c r="K141" s="4" cm="1">
        <f t="array" ref="K141">INDEX(products!$B$2:$E$49,MATCH($D141,products!$A$2:$A$49,0),COLUMN(C140))</f>
        <v>1</v>
      </c>
      <c r="L141" s="5" cm="1">
        <f t="array" ref="L141">INDEX(products!$B$2:$E$49,MATCH($D141,products!$A$2:$A$49,0),COLUMN(D140))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INDEX(products!$A$1:$G$49,MATCH($D142,products!$A$1:$A$49,0),MATCH(I$1,products!$A$1:$G$1,0))</f>
        <v>Lib</v>
      </c>
      <c r="J142" t="str" cm="1">
        <f t="array" ref="J142">INDEX(products!$B$2:$E$49,MATCH($D142,products!$A$2:$A$49,0),COLUMN(B141))</f>
        <v>D</v>
      </c>
      <c r="K142" s="4" cm="1">
        <f t="array" ref="K142">INDEX(products!$B$2:$E$49,MATCH($D142,products!$A$2:$A$49,0),COLUMN(C141))</f>
        <v>2.5</v>
      </c>
      <c r="L142" s="5" cm="1">
        <f t="array" ref="L142">INDEX(products!$B$2:$E$49,MATCH($D142,products!$A$2:$A$49,0),COLUMN(D141))</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f>
        <v>Boyd Bett</v>
      </c>
      <c r="G143" s="2" t="str">
        <f>IF(_xlfn.XLOOKUP(C143,customers!$A$1:$A$1001,customers!$C$1:$C$1001,,0)=0,"",(_xlfn.XLOOKUP(C143,customers!$A$1:$A$1001,customers!$C$1:$C$1001,,0)))</f>
        <v>bbett3x@google.de</v>
      </c>
      <c r="H143" s="2" t="str">
        <f>_xlfn.XLOOKUP(C143,customers!$A$1:$A$1001,customers!$G$1:$G$1001,,0)</f>
        <v>United States</v>
      </c>
      <c r="I143" t="str">
        <f>INDEX(products!$A$1:$G$49,MATCH($D143,products!$A$1:$A$49,0),MATCH(I$1,products!$A$1:$G$1,0))</f>
        <v>Ara</v>
      </c>
      <c r="J143" t="str" cm="1">
        <f t="array" ref="J143">INDEX(products!$B$2:$E$49,MATCH($D143,products!$A$2:$A$49,0),COLUMN(B142))</f>
        <v>L</v>
      </c>
      <c r="K143" s="4" cm="1">
        <f t="array" ref="K143">INDEX(products!$B$2:$E$49,MATCH($D143,products!$A$2:$A$49,0),COLUMN(C142))</f>
        <v>0.2</v>
      </c>
      <c r="L143" s="5" cm="1">
        <f t="array" ref="L143">INDEX(products!$B$2:$E$49,MATCH($D143,products!$A$2:$A$49,0),COLUMN(D142))</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f>
        <v>Julio Armytage</v>
      </c>
      <c r="G144" s="2" t="str">
        <f>IF(_xlfn.XLOOKUP(C144,customers!$A$1:$A$1001,customers!$C$1:$C$1001,,0)=0,"",(_xlfn.XLOOKUP(C144,customers!$A$1:$A$1001,customers!$C$1:$C$1001,,0)))</f>
        <v/>
      </c>
      <c r="H144" s="2" t="str">
        <f>_xlfn.XLOOKUP(C144,customers!$A$1:$A$1001,customers!$G$1:$G$1001,,0)</f>
        <v>Ireland</v>
      </c>
      <c r="I144" t="str">
        <f>INDEX(products!$A$1:$G$49,MATCH($D144,products!$A$1:$A$49,0),MATCH(I$1,products!$A$1:$G$1,0))</f>
        <v>Exc</v>
      </c>
      <c r="J144" t="str" cm="1">
        <f t="array" ref="J144">INDEX(products!$B$2:$E$49,MATCH($D144,products!$A$2:$A$49,0),COLUMN(B143))</f>
        <v>L</v>
      </c>
      <c r="K144" s="4" cm="1">
        <f t="array" ref="K144">INDEX(products!$B$2:$E$49,MATCH($D144,products!$A$2:$A$49,0),COLUMN(C143))</f>
        <v>2.5</v>
      </c>
      <c r="L144" s="5" cm="1">
        <f t="array" ref="L144">INDEX(products!$B$2:$E$49,MATCH($D144,products!$A$2:$A$49,0),COLUMN(D143))</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INDEX(products!$A$1:$G$49,MATCH($D145,products!$A$1:$A$49,0),MATCH(I$1,products!$A$1:$G$1,0))</f>
        <v>Lib</v>
      </c>
      <c r="J145" t="str" cm="1">
        <f t="array" ref="J145">INDEX(products!$B$2:$E$49,MATCH($D145,products!$A$2:$A$49,0),COLUMN(B144))</f>
        <v>M</v>
      </c>
      <c r="K145" s="4" cm="1">
        <f t="array" ref="K145">INDEX(products!$B$2:$E$49,MATCH($D145,products!$A$2:$A$49,0),COLUMN(C144))</f>
        <v>0.5</v>
      </c>
      <c r="L145" s="5" cm="1">
        <f t="array" ref="L145">INDEX(products!$B$2:$E$49,MATCH($D145,products!$A$2:$A$49,0),COLUMN(D144))</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INDEX(products!$A$1:$G$49,MATCH($D146,products!$A$1:$A$49,0),MATCH(I$1,products!$A$1:$G$1,0))</f>
        <v>Exc</v>
      </c>
      <c r="J146" t="str" cm="1">
        <f t="array" ref="J146">INDEX(products!$B$2:$E$49,MATCH($D146,products!$A$2:$A$49,0),COLUMN(B145))</f>
        <v>L</v>
      </c>
      <c r="K146" s="4" cm="1">
        <f t="array" ref="K146">INDEX(products!$B$2:$E$49,MATCH($D146,products!$A$2:$A$49,0),COLUMN(C145))</f>
        <v>2.5</v>
      </c>
      <c r="L146" s="5" cm="1">
        <f t="array" ref="L146">INDEX(products!$B$2:$E$49,MATCH($D146,products!$A$2:$A$49,0),COLUMN(D145))</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INDEX(products!$A$1:$G$49,MATCH($D147,products!$A$1:$A$49,0),MATCH(I$1,products!$A$1:$G$1,0))</f>
        <v>Lib</v>
      </c>
      <c r="J147" t="str" cm="1">
        <f t="array" ref="J147">INDEX(products!$B$2:$E$49,MATCH($D147,products!$A$2:$A$49,0),COLUMN(B146))</f>
        <v>M</v>
      </c>
      <c r="K147" s="4" cm="1">
        <f t="array" ref="K147">INDEX(products!$B$2:$E$49,MATCH($D147,products!$A$2:$A$49,0),COLUMN(C146))</f>
        <v>0.2</v>
      </c>
      <c r="L147" s="5" cm="1">
        <f t="array" ref="L147">INDEX(products!$B$2:$E$49,MATCH($D147,products!$A$2:$A$49,0),COLUMN(D146))</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INDEX(products!$A$1:$G$49,MATCH($D148,products!$A$1:$A$49,0),MATCH(I$1,products!$A$1:$G$1,0))</f>
        <v>Lib</v>
      </c>
      <c r="J148" t="str" cm="1">
        <f t="array" ref="J148">INDEX(products!$B$2:$E$49,MATCH($D148,products!$A$2:$A$49,0),COLUMN(B147))</f>
        <v>M</v>
      </c>
      <c r="K148" s="4" cm="1">
        <f t="array" ref="K148">INDEX(products!$B$2:$E$49,MATCH($D148,products!$A$2:$A$49,0),COLUMN(C147))</f>
        <v>1</v>
      </c>
      <c r="L148" s="5" cm="1">
        <f t="array" ref="L148">INDEX(products!$B$2:$E$49,MATCH($D148,products!$A$2:$A$49,0),COLUMN(D147))</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INDEX(products!$A$1:$G$49,MATCH($D149,products!$A$1:$A$49,0),MATCH(I$1,products!$A$1:$G$1,0))</f>
        <v>Exc</v>
      </c>
      <c r="J149" t="str" cm="1">
        <f t="array" ref="J149">INDEX(products!$B$2:$E$49,MATCH($D149,products!$A$2:$A$49,0),COLUMN(B148))</f>
        <v>M</v>
      </c>
      <c r="K149" s="4" cm="1">
        <f t="array" ref="K149">INDEX(products!$B$2:$E$49,MATCH($D149,products!$A$2:$A$49,0),COLUMN(C148))</f>
        <v>1</v>
      </c>
      <c r="L149" s="5" cm="1">
        <f t="array" ref="L149">INDEX(products!$B$2:$E$49,MATCH($D149,products!$A$2:$A$49,0),COLUMN(D148))</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INDEX(products!$A$1:$G$49,MATCH($D150,products!$A$1:$A$49,0),MATCH(I$1,products!$A$1:$G$1,0))</f>
        <v>Exc</v>
      </c>
      <c r="J150" t="str" cm="1">
        <f t="array" ref="J150">INDEX(products!$B$2:$E$49,MATCH($D150,products!$A$2:$A$49,0),COLUMN(B149))</f>
        <v>D</v>
      </c>
      <c r="K150" s="4" cm="1">
        <f t="array" ref="K150">INDEX(products!$B$2:$E$49,MATCH($D150,products!$A$2:$A$49,0),COLUMN(C149))</f>
        <v>0.2</v>
      </c>
      <c r="L150" s="5" cm="1">
        <f t="array" ref="L150">INDEX(products!$B$2:$E$49,MATCH($D150,products!$A$2:$A$49,0),COLUMN(D149))</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f>
        <v>Gerard Pirdy</v>
      </c>
      <c r="G151" s="2" t="str">
        <f>IF(_xlfn.XLOOKUP(C151,customers!$A$1:$A$1001,customers!$C$1:$C$1001,,0)=0,"",(_xlfn.XLOOKUP(C151,customers!$A$1:$A$1001,customers!$C$1:$C$1001,,0)))</f>
        <v/>
      </c>
      <c r="H151" s="2" t="str">
        <f>_xlfn.XLOOKUP(C151,customers!$A$1:$A$1001,customers!$G$1:$G$1001,,0)</f>
        <v>United States</v>
      </c>
      <c r="I151" t="str">
        <f>INDEX(products!$A$1:$G$49,MATCH($D151,products!$A$1:$A$49,0),MATCH(I$1,products!$A$1:$G$1,0))</f>
        <v>Ara</v>
      </c>
      <c r="J151" t="str" cm="1">
        <f t="array" ref="J151">INDEX(products!$B$2:$E$49,MATCH($D151,products!$A$2:$A$49,0),COLUMN(B150))</f>
        <v>M</v>
      </c>
      <c r="K151" s="4" cm="1">
        <f t="array" ref="K151">INDEX(products!$B$2:$E$49,MATCH($D151,products!$A$2:$A$49,0),COLUMN(C150))</f>
        <v>2.5</v>
      </c>
      <c r="L151" s="5" cm="1">
        <f t="array" ref="L151">INDEX(products!$B$2:$E$49,MATCH($D151,products!$A$2:$A$49,0),COLUMN(D150))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INDEX(products!$A$1:$G$49,MATCH($D152,products!$A$1:$A$49,0),MATCH(I$1,products!$A$1:$G$1,0))</f>
        <v>Lib</v>
      </c>
      <c r="J152" t="str" cm="1">
        <f t="array" ref="J152">INDEX(products!$B$2:$E$49,MATCH($D152,products!$A$2:$A$49,0),COLUMN(B151))</f>
        <v>D</v>
      </c>
      <c r="K152" s="4" cm="1">
        <f t="array" ref="K152">INDEX(products!$B$2:$E$49,MATCH($D152,products!$A$2:$A$49,0),COLUMN(C151))</f>
        <v>1</v>
      </c>
      <c r="L152" s="5" cm="1">
        <f t="array" ref="L152">INDEX(products!$B$2:$E$49,MATCH($D152,products!$A$2:$A$49,0),COLUMN(D151))</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f>
        <v>Quinton Fouracres</v>
      </c>
      <c r="G153" s="2" t="str">
        <f>IF(_xlfn.XLOOKUP(C153,customers!$A$1:$A$1001,customers!$C$1:$C$1001,,0)=0,"",(_xlfn.XLOOKUP(C153,customers!$A$1:$A$1001,customers!$C$1:$C$1001,,0)))</f>
        <v/>
      </c>
      <c r="H153" s="2" t="str">
        <f>_xlfn.XLOOKUP(C153,customers!$A$1:$A$1001,customers!$G$1:$G$1001,,0)</f>
        <v>United States</v>
      </c>
      <c r="I153" t="str">
        <f>INDEX(products!$A$1:$G$49,MATCH($D153,products!$A$1:$A$49,0),MATCH(I$1,products!$A$1:$G$1,0))</f>
        <v>Ara</v>
      </c>
      <c r="J153" t="str" cm="1">
        <f t="array" ref="J153">INDEX(products!$B$2:$E$49,MATCH($D153,products!$A$2:$A$49,0),COLUMN(B152))</f>
        <v>M</v>
      </c>
      <c r="K153" s="4" cm="1">
        <f t="array" ref="K153">INDEX(products!$B$2:$E$49,MATCH($D153,products!$A$2:$A$49,0),COLUMN(C152))</f>
        <v>1</v>
      </c>
      <c r="L153" s="5" cm="1">
        <f t="array" ref="L153">INDEX(products!$B$2:$E$49,MATCH($D153,products!$A$2:$A$49,0),COLUMN(D152))</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INDEX(products!$A$1:$G$49,MATCH($D154,products!$A$1:$A$49,0),MATCH(I$1,products!$A$1:$G$1,0))</f>
        <v>Rob</v>
      </c>
      <c r="J154" t="str" cm="1">
        <f t="array" ref="J154">INDEX(products!$B$2:$E$49,MATCH($D154,products!$A$2:$A$49,0),COLUMN(B153))</f>
        <v>M</v>
      </c>
      <c r="K154" s="4" cm="1">
        <f t="array" ref="K154">INDEX(products!$B$2:$E$49,MATCH($D154,products!$A$2:$A$49,0),COLUMN(C153))</f>
        <v>2.5</v>
      </c>
      <c r="L154" s="5" cm="1">
        <f t="array" ref="L154">INDEX(products!$B$2:$E$49,MATCH($D154,products!$A$2:$A$49,0),COLUMN(D153))</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f>
        <v>Hetti Penson</v>
      </c>
      <c r="G155" s="2" t="str">
        <f>IF(_xlfn.XLOOKUP(C155,customers!$A$1:$A$1001,customers!$C$1:$C$1001,,0)=0,"",(_xlfn.XLOOKUP(C155,customers!$A$1:$A$1001,customers!$C$1:$C$1001,,0)))</f>
        <v/>
      </c>
      <c r="H155" s="2" t="str">
        <f>_xlfn.XLOOKUP(C155,customers!$A$1:$A$1001,customers!$G$1:$G$1001,,0)</f>
        <v>United States</v>
      </c>
      <c r="I155" t="str">
        <f>INDEX(products!$A$1:$G$49,MATCH($D155,products!$A$1:$A$49,0),MATCH(I$1,products!$A$1:$G$1,0))</f>
        <v>Rob</v>
      </c>
      <c r="J155" t="str" cm="1">
        <f t="array" ref="J155">INDEX(products!$B$2:$E$49,MATCH($D155,products!$A$2:$A$49,0),COLUMN(B154))</f>
        <v>D</v>
      </c>
      <c r="K155" s="4" cm="1">
        <f t="array" ref="K155">INDEX(products!$B$2:$E$49,MATCH($D155,products!$A$2:$A$49,0),COLUMN(C154))</f>
        <v>0.2</v>
      </c>
      <c r="L155" s="5" cm="1">
        <f t="array" ref="L155">INDEX(products!$B$2:$E$49,MATCH($D155,products!$A$2:$A$49,0),COLUMN(D154))</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INDEX(products!$A$1:$G$49,MATCH($D156,products!$A$1:$A$49,0),MATCH(I$1,products!$A$1:$G$1,0))</f>
        <v>Ara</v>
      </c>
      <c r="J156" t="str" cm="1">
        <f t="array" ref="J156">INDEX(products!$B$2:$E$49,MATCH($D156,products!$A$2:$A$49,0),COLUMN(B155))</f>
        <v>D</v>
      </c>
      <c r="K156" s="4" cm="1">
        <f t="array" ref="K156">INDEX(products!$B$2:$E$49,MATCH($D156,products!$A$2:$A$49,0),COLUMN(C155))</f>
        <v>2.5</v>
      </c>
      <c r="L156" s="5" cm="1">
        <f t="array" ref="L156">INDEX(products!$B$2:$E$49,MATCH($D156,products!$A$2:$A$49,0),COLUMN(D155))</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INDEX(products!$A$1:$G$49,MATCH($D157,products!$A$1:$A$49,0),MATCH(I$1,products!$A$1:$G$1,0))</f>
        <v>Ara</v>
      </c>
      <c r="J157" t="str" cm="1">
        <f t="array" ref="J157">INDEX(products!$B$2:$E$49,MATCH($D157,products!$A$2:$A$49,0),COLUMN(B156))</f>
        <v>M</v>
      </c>
      <c r="K157" s="4" cm="1">
        <f t="array" ref="K157">INDEX(products!$B$2:$E$49,MATCH($D157,products!$A$2:$A$49,0),COLUMN(C156))</f>
        <v>2.5</v>
      </c>
      <c r="L157" s="5" cm="1">
        <f t="array" ref="L157">INDEX(products!$B$2:$E$49,MATCH($D157,products!$A$2:$A$49,0),COLUMN(D156))</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INDEX(products!$A$1:$G$49,MATCH($D158,products!$A$1:$A$49,0),MATCH(I$1,products!$A$1:$G$1,0))</f>
        <v>Ara</v>
      </c>
      <c r="J158" t="str" cm="1">
        <f t="array" ref="J158">INDEX(products!$B$2:$E$49,MATCH($D158,products!$A$2:$A$49,0),COLUMN(B157))</f>
        <v>M</v>
      </c>
      <c r="K158" s="4" cm="1">
        <f t="array" ref="K158">INDEX(products!$B$2:$E$49,MATCH($D158,products!$A$2:$A$49,0),COLUMN(C157))</f>
        <v>2.5</v>
      </c>
      <c r="L158" s="5" cm="1">
        <f t="array" ref="L158">INDEX(products!$B$2:$E$49,MATCH($D158,products!$A$2:$A$49,0),COLUMN(D157))</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f>
        <v>Paulo Yea</v>
      </c>
      <c r="G159" s="2" t="str">
        <f>IF(_xlfn.XLOOKUP(C159,customers!$A$1:$A$1001,customers!$C$1:$C$1001,,0)=0,"",(_xlfn.XLOOKUP(C159,customers!$A$1:$A$1001,customers!$C$1:$C$1001,,0)))</f>
        <v>pyea4d@aol.com</v>
      </c>
      <c r="H159" s="2" t="str">
        <f>_xlfn.XLOOKUP(C159,customers!$A$1:$A$1001,customers!$G$1:$G$1001,,0)</f>
        <v>Ireland</v>
      </c>
      <c r="I159" t="str">
        <f>INDEX(products!$A$1:$G$49,MATCH($D159,products!$A$1:$A$49,0),MATCH(I$1,products!$A$1:$G$1,0))</f>
        <v>Rob</v>
      </c>
      <c r="J159" t="str" cm="1">
        <f t="array" ref="J159">INDEX(products!$B$2:$E$49,MATCH($D159,products!$A$2:$A$49,0),COLUMN(B158))</f>
        <v>D</v>
      </c>
      <c r="K159" s="4" cm="1">
        <f t="array" ref="K159">INDEX(products!$B$2:$E$49,MATCH($D159,products!$A$2:$A$49,0),COLUMN(C158))</f>
        <v>2.5</v>
      </c>
      <c r="L159" s="5" cm="1">
        <f t="array" ref="L159">INDEX(products!$B$2:$E$49,MATCH($D159,products!$A$2:$A$49,0),COLUMN(D158))</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f>
        <v>Say Risborough</v>
      </c>
      <c r="G160" s="2" t="str">
        <f>IF(_xlfn.XLOOKUP(C160,customers!$A$1:$A$1001,customers!$C$1:$C$1001,,0)=0,"",(_xlfn.XLOOKUP(C160,customers!$A$1:$A$1001,customers!$C$1:$C$1001,,0)))</f>
        <v/>
      </c>
      <c r="H160" s="2" t="str">
        <f>_xlfn.XLOOKUP(C160,customers!$A$1:$A$1001,customers!$G$1:$G$1001,,0)</f>
        <v>United States</v>
      </c>
      <c r="I160" t="str">
        <f>INDEX(products!$A$1:$G$49,MATCH($D160,products!$A$1:$A$49,0),MATCH(I$1,products!$A$1:$G$1,0))</f>
        <v>Rob</v>
      </c>
      <c r="J160" t="str" cm="1">
        <f t="array" ref="J160">INDEX(products!$B$2:$E$49,MATCH($D160,products!$A$2:$A$49,0),COLUMN(B159))</f>
        <v>D</v>
      </c>
      <c r="K160" s="4" cm="1">
        <f t="array" ref="K160">INDEX(products!$B$2:$E$49,MATCH($D160,products!$A$2:$A$49,0),COLUMN(C159))</f>
        <v>2.5</v>
      </c>
      <c r="L160" s="5" cm="1">
        <f t="array" ref="L160">INDEX(products!$B$2:$E$49,MATCH($D160,products!$A$2:$A$49,0),COLUMN(D159))</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f>
        <v>Alexa Sizey</v>
      </c>
      <c r="G161" s="2" t="str">
        <f>IF(_xlfn.XLOOKUP(C161,customers!$A$1:$A$1001,customers!$C$1:$C$1001,,0)=0,"",(_xlfn.XLOOKUP(C161,customers!$A$1:$A$1001,customers!$C$1:$C$1001,,0)))</f>
        <v/>
      </c>
      <c r="H161" s="2" t="str">
        <f>_xlfn.XLOOKUP(C161,customers!$A$1:$A$1001,customers!$G$1:$G$1001,,0)</f>
        <v>United States</v>
      </c>
      <c r="I161" t="str">
        <f>INDEX(products!$A$1:$G$49,MATCH($D161,products!$A$1:$A$49,0),MATCH(I$1,products!$A$1:$G$1,0))</f>
        <v>Lib</v>
      </c>
      <c r="J161" t="str" cm="1">
        <f t="array" ref="J161">INDEX(products!$B$2:$E$49,MATCH($D161,products!$A$2:$A$49,0),COLUMN(B160))</f>
        <v>L</v>
      </c>
      <c r="K161" s="4" cm="1">
        <f t="array" ref="K161">INDEX(products!$B$2:$E$49,MATCH($D161,products!$A$2:$A$49,0),COLUMN(C160))</f>
        <v>2.5</v>
      </c>
      <c r="L161" s="5" cm="1">
        <f t="array" ref="L161">INDEX(products!$B$2:$E$49,MATCH($D161,products!$A$2:$A$49,0),COLUMN(D160))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INDEX(products!$A$1:$G$49,MATCH($D162,products!$A$1:$A$49,0),MATCH(I$1,products!$A$1:$G$1,0))</f>
        <v>Exc</v>
      </c>
      <c r="J162" t="str" cm="1">
        <f t="array" ref="J162">INDEX(products!$B$2:$E$49,MATCH($D162,products!$A$2:$A$49,0),COLUMN(B161))</f>
        <v>M</v>
      </c>
      <c r="K162" s="4" cm="1">
        <f t="array" ref="K162">INDEX(products!$B$2:$E$49,MATCH($D162,products!$A$2:$A$49,0),COLUMN(C161))</f>
        <v>0.5</v>
      </c>
      <c r="L162" s="5" cm="1">
        <f t="array" ref="L162">INDEX(products!$B$2:$E$49,MATCH($D162,products!$A$2:$A$49,0),COLUMN(D161))</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INDEX(products!$A$1:$G$49,MATCH($D163,products!$A$1:$A$49,0),MATCH(I$1,products!$A$1:$G$1,0))</f>
        <v>Ara</v>
      </c>
      <c r="J163" t="str" cm="1">
        <f t="array" ref="J163">INDEX(products!$B$2:$E$49,MATCH($D163,products!$A$2:$A$49,0),COLUMN(B162))</f>
        <v>L</v>
      </c>
      <c r="K163" s="4" cm="1">
        <f t="array" ref="K163">INDEX(products!$B$2:$E$49,MATCH($D163,products!$A$2:$A$49,0),COLUMN(C162))</f>
        <v>0.5</v>
      </c>
      <c r="L163" s="5" cm="1">
        <f t="array" ref="L163">INDEX(products!$B$2:$E$49,MATCH($D163,products!$A$2:$A$49,0),COLUMN(D162))</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INDEX(products!$A$1:$G$49,MATCH($D164,products!$A$1:$A$49,0),MATCH(I$1,products!$A$1:$G$1,0))</f>
        <v>Exc</v>
      </c>
      <c r="J164" t="str" cm="1">
        <f t="array" ref="J164">INDEX(products!$B$2:$E$49,MATCH($D164,products!$A$2:$A$49,0),COLUMN(B163))</f>
        <v>D</v>
      </c>
      <c r="K164" s="4" cm="1">
        <f t="array" ref="K164">INDEX(products!$B$2:$E$49,MATCH($D164,products!$A$2:$A$49,0),COLUMN(C163))</f>
        <v>0.5</v>
      </c>
      <c r="L164" s="5" cm="1">
        <f t="array" ref="L164">INDEX(products!$B$2:$E$49,MATCH($D164,products!$A$2:$A$49,0),COLUMN(D163))</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INDEX(products!$A$1:$G$49,MATCH($D165,products!$A$1:$A$49,0),MATCH(I$1,products!$A$1:$G$1,0))</f>
        <v>Rob</v>
      </c>
      <c r="J165" t="str" cm="1">
        <f t="array" ref="J165">INDEX(products!$B$2:$E$49,MATCH($D165,products!$A$2:$A$49,0),COLUMN(B164))</f>
        <v>D</v>
      </c>
      <c r="K165" s="4" cm="1">
        <f t="array" ref="K165">INDEX(products!$B$2:$E$49,MATCH($D165,products!$A$2:$A$49,0),COLUMN(C164))</f>
        <v>0.2</v>
      </c>
      <c r="L165" s="5" cm="1">
        <f t="array" ref="L165">INDEX(products!$B$2:$E$49,MATCH($D165,products!$A$2:$A$49,0),COLUMN(D164))</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INDEX(products!$A$1:$G$49,MATCH($D166,products!$A$1:$A$49,0),MATCH(I$1,products!$A$1:$G$1,0))</f>
        <v>Exc</v>
      </c>
      <c r="J166" t="str" cm="1">
        <f t="array" ref="J166">INDEX(products!$B$2:$E$49,MATCH($D166,products!$A$2:$A$49,0),COLUMN(B165))</f>
        <v>D</v>
      </c>
      <c r="K166" s="4" cm="1">
        <f t="array" ref="K166">INDEX(products!$B$2:$E$49,MATCH($D166,products!$A$2:$A$49,0),COLUMN(C165))</f>
        <v>0.5</v>
      </c>
      <c r="L166" s="5" cm="1">
        <f t="array" ref="L166">INDEX(products!$B$2:$E$49,MATCH($D166,products!$A$2:$A$49,0),COLUMN(D165))</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f>
        <v>Mina Elstone</v>
      </c>
      <c r="G167" s="2" t="str">
        <f>IF(_xlfn.XLOOKUP(C167,customers!$A$1:$A$1001,customers!$C$1:$C$1001,,0)=0,"",(_xlfn.XLOOKUP(C167,customers!$A$1:$A$1001,customers!$C$1:$C$1001,,0)))</f>
        <v/>
      </c>
      <c r="H167" s="2" t="str">
        <f>_xlfn.XLOOKUP(C167,customers!$A$1:$A$1001,customers!$G$1:$G$1001,,0)</f>
        <v>United States</v>
      </c>
      <c r="I167" t="str">
        <f>INDEX(products!$A$1:$G$49,MATCH($D167,products!$A$1:$A$49,0),MATCH(I$1,products!$A$1:$G$1,0))</f>
        <v>Rob</v>
      </c>
      <c r="J167" t="str" cm="1">
        <f t="array" ref="J167">INDEX(products!$B$2:$E$49,MATCH($D167,products!$A$2:$A$49,0),COLUMN(B166))</f>
        <v>D</v>
      </c>
      <c r="K167" s="4" cm="1">
        <f t="array" ref="K167">INDEX(products!$B$2:$E$49,MATCH($D167,products!$A$2:$A$49,0),COLUMN(C166))</f>
        <v>1</v>
      </c>
      <c r="L167" s="5" cm="1">
        <f t="array" ref="L167">INDEX(products!$B$2:$E$49,MATCH($D167,products!$A$2:$A$49,0),COLUMN(D166))</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f>
        <v>Sherman Mewrcik</v>
      </c>
      <c r="G168" s="2" t="str">
        <f>IF(_xlfn.XLOOKUP(C168,customers!$A$1:$A$1001,customers!$C$1:$C$1001,,0)=0,"",(_xlfn.XLOOKUP(C168,customers!$A$1:$A$1001,customers!$C$1:$C$1001,,0)))</f>
        <v/>
      </c>
      <c r="H168" s="2" t="str">
        <f>_xlfn.XLOOKUP(C168,customers!$A$1:$A$1001,customers!$G$1:$G$1001,,0)</f>
        <v>United States</v>
      </c>
      <c r="I168" t="str">
        <f>INDEX(products!$A$1:$G$49,MATCH($D168,products!$A$1:$A$49,0),MATCH(I$1,products!$A$1:$G$1,0))</f>
        <v>Rob</v>
      </c>
      <c r="J168" t="str" cm="1">
        <f t="array" ref="J168">INDEX(products!$B$2:$E$49,MATCH($D168,products!$A$2:$A$49,0),COLUMN(B167))</f>
        <v>D</v>
      </c>
      <c r="K168" s="4" cm="1">
        <f t="array" ref="K168">INDEX(products!$B$2:$E$49,MATCH($D168,products!$A$2:$A$49,0),COLUMN(C167))</f>
        <v>0.5</v>
      </c>
      <c r="L168" s="5" cm="1">
        <f t="array" ref="L168">INDEX(products!$B$2:$E$49,MATCH($D168,products!$A$2:$A$49,0),COLUMN(D167))</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INDEX(products!$A$1:$G$49,MATCH($D169,products!$A$1:$A$49,0),MATCH(I$1,products!$A$1:$G$1,0))</f>
        <v>Exc</v>
      </c>
      <c r="J169" t="str" cm="1">
        <f t="array" ref="J169">INDEX(products!$B$2:$E$49,MATCH($D169,products!$A$2:$A$49,0),COLUMN(B168))</f>
        <v>M</v>
      </c>
      <c r="K169" s="4" cm="1">
        <f t="array" ref="K169">INDEX(products!$B$2:$E$49,MATCH($D169,products!$A$2:$A$49,0),COLUMN(C168))</f>
        <v>0.5</v>
      </c>
      <c r="L169" s="5" cm="1">
        <f t="array" ref="L169">INDEX(products!$B$2:$E$49,MATCH($D169,products!$A$2:$A$49,0),COLUMN(D168))</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f>
        <v>Stanislaus Valsler</v>
      </c>
      <c r="G170" s="2" t="str">
        <f>IF(_xlfn.XLOOKUP(C170,customers!$A$1:$A$1001,customers!$C$1:$C$1001,,0)=0,"",(_xlfn.XLOOKUP(C170,customers!$A$1:$A$1001,customers!$C$1:$C$1001,,0)))</f>
        <v/>
      </c>
      <c r="H170" s="2" t="str">
        <f>_xlfn.XLOOKUP(C170,customers!$A$1:$A$1001,customers!$G$1:$G$1001,,0)</f>
        <v>Ireland</v>
      </c>
      <c r="I170" t="str">
        <f>INDEX(products!$A$1:$G$49,MATCH($D170,products!$A$1:$A$49,0),MATCH(I$1,products!$A$1:$G$1,0))</f>
        <v>Ara</v>
      </c>
      <c r="J170" t="str" cm="1">
        <f t="array" ref="J170">INDEX(products!$B$2:$E$49,MATCH($D170,products!$A$2:$A$49,0),COLUMN(B169))</f>
        <v>M</v>
      </c>
      <c r="K170" s="4" cm="1">
        <f t="array" ref="K170">INDEX(products!$B$2:$E$49,MATCH($D170,products!$A$2:$A$49,0),COLUMN(C169))</f>
        <v>0.5</v>
      </c>
      <c r="L170" s="5" cm="1">
        <f t="array" ref="L170">INDEX(products!$B$2:$E$49,MATCH($D170,products!$A$2:$A$49,0),COLUMN(D169))</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INDEX(products!$A$1:$G$49,MATCH($D171,products!$A$1:$A$49,0),MATCH(I$1,products!$A$1:$G$1,0))</f>
        <v>Rob</v>
      </c>
      <c r="J171" t="str" cm="1">
        <f t="array" ref="J171">INDEX(products!$B$2:$E$49,MATCH($D171,products!$A$2:$A$49,0),COLUMN(B170))</f>
        <v>D</v>
      </c>
      <c r="K171" s="4" cm="1">
        <f t="array" ref="K171">INDEX(products!$B$2:$E$49,MATCH($D171,products!$A$2:$A$49,0),COLUMN(C170))</f>
        <v>1</v>
      </c>
      <c r="L171" s="5" cm="1">
        <f t="array" ref="L171">INDEX(products!$B$2:$E$49,MATCH($D171,products!$A$2:$A$49,0),COLUMN(D170))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INDEX(products!$A$1:$G$49,MATCH($D172,products!$A$1:$A$49,0),MATCH(I$1,products!$A$1:$G$1,0))</f>
        <v>Exc</v>
      </c>
      <c r="J172" t="str" cm="1">
        <f t="array" ref="J172">INDEX(products!$B$2:$E$49,MATCH($D172,products!$A$2:$A$49,0),COLUMN(B171))</f>
        <v>L</v>
      </c>
      <c r="K172" s="4" cm="1">
        <f t="array" ref="K172">INDEX(products!$B$2:$E$49,MATCH($D172,products!$A$2:$A$49,0),COLUMN(C171))</f>
        <v>2.5</v>
      </c>
      <c r="L172" s="5" cm="1">
        <f t="array" ref="L172">INDEX(products!$B$2:$E$49,MATCH($D172,products!$A$2:$A$49,0),COLUMN(D171))</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INDEX(products!$A$1:$G$49,MATCH($D173,products!$A$1:$A$49,0),MATCH(I$1,products!$A$1:$G$1,0))</f>
        <v>Exc</v>
      </c>
      <c r="J173" t="str" cm="1">
        <f t="array" ref="J173">INDEX(products!$B$2:$E$49,MATCH($D173,products!$A$2:$A$49,0),COLUMN(B172))</f>
        <v>M</v>
      </c>
      <c r="K173" s="4" cm="1">
        <f t="array" ref="K173">INDEX(products!$B$2:$E$49,MATCH($D173,products!$A$2:$A$49,0),COLUMN(C172))</f>
        <v>2.5</v>
      </c>
      <c r="L173" s="5" cm="1">
        <f t="array" ref="L173">INDEX(products!$B$2:$E$49,MATCH($D173,products!$A$2:$A$49,0),COLUMN(D172))</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INDEX(products!$A$1:$G$49,MATCH($D174,products!$A$1:$A$49,0),MATCH(I$1,products!$A$1:$G$1,0))</f>
        <v>Exc</v>
      </c>
      <c r="J174" t="str" cm="1">
        <f t="array" ref="J174">INDEX(products!$B$2:$E$49,MATCH($D174,products!$A$2:$A$49,0),COLUMN(B173))</f>
        <v>D</v>
      </c>
      <c r="K174" s="4" cm="1">
        <f t="array" ref="K174">INDEX(products!$B$2:$E$49,MATCH($D174,products!$A$2:$A$49,0),COLUMN(C173))</f>
        <v>0.5</v>
      </c>
      <c r="L174" s="5" cm="1">
        <f t="array" ref="L174">INDEX(products!$B$2:$E$49,MATCH($D174,products!$A$2:$A$49,0),COLUMN(D173))</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INDEX(products!$A$1:$G$49,MATCH($D175,products!$A$1:$A$49,0),MATCH(I$1,products!$A$1:$G$1,0))</f>
        <v>Rob</v>
      </c>
      <c r="J175" t="str" cm="1">
        <f t="array" ref="J175">INDEX(products!$B$2:$E$49,MATCH($D175,products!$A$2:$A$49,0),COLUMN(B174))</f>
        <v>M</v>
      </c>
      <c r="K175" s="4" cm="1">
        <f t="array" ref="K175">INDEX(products!$B$2:$E$49,MATCH($D175,products!$A$2:$A$49,0),COLUMN(C174))</f>
        <v>2.5</v>
      </c>
      <c r="L175" s="5" cm="1">
        <f t="array" ref="L175">INDEX(products!$B$2:$E$49,MATCH($D175,products!$A$2:$A$49,0),COLUMN(D174))</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f>
        <v>Elysee Sketch</v>
      </c>
      <c r="G176" s="2" t="str">
        <f>IF(_xlfn.XLOOKUP(C176,customers!$A$1:$A$1001,customers!$C$1:$C$1001,,0)=0,"",(_xlfn.XLOOKUP(C176,customers!$A$1:$A$1001,customers!$C$1:$C$1001,,0)))</f>
        <v/>
      </c>
      <c r="H176" s="2" t="str">
        <f>_xlfn.XLOOKUP(C176,customers!$A$1:$A$1001,customers!$G$1:$G$1001,,0)</f>
        <v>United States</v>
      </c>
      <c r="I176" t="str">
        <f>INDEX(products!$A$1:$G$49,MATCH($D176,products!$A$1:$A$49,0),MATCH(I$1,products!$A$1:$G$1,0))</f>
        <v>Exc</v>
      </c>
      <c r="J176" t="str" cm="1">
        <f t="array" ref="J176">INDEX(products!$B$2:$E$49,MATCH($D176,products!$A$2:$A$49,0),COLUMN(B175))</f>
        <v>L</v>
      </c>
      <c r="K176" s="4" cm="1">
        <f t="array" ref="K176">INDEX(products!$B$2:$E$49,MATCH($D176,products!$A$2:$A$49,0),COLUMN(C175))</f>
        <v>2.5</v>
      </c>
      <c r="L176" s="5" cm="1">
        <f t="array" ref="L176">INDEX(products!$B$2:$E$49,MATCH($D176,products!$A$2:$A$49,0),COLUMN(D175))</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INDEX(products!$A$1:$G$49,MATCH($D177,products!$A$1:$A$49,0),MATCH(I$1,products!$A$1:$G$1,0))</f>
        <v>Exc</v>
      </c>
      <c r="J177" t="str" cm="1">
        <f t="array" ref="J177">INDEX(products!$B$2:$E$49,MATCH($D177,products!$A$2:$A$49,0),COLUMN(B176))</f>
        <v>M</v>
      </c>
      <c r="K177" s="4" cm="1">
        <f t="array" ref="K177">INDEX(products!$B$2:$E$49,MATCH($D177,products!$A$2:$A$49,0),COLUMN(C176))</f>
        <v>2.5</v>
      </c>
      <c r="L177" s="5" cm="1">
        <f t="array" ref="L177">INDEX(products!$B$2:$E$49,MATCH($D177,products!$A$2:$A$49,0),COLUMN(D176))</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INDEX(products!$A$1:$G$49,MATCH($D178,products!$A$1:$A$49,0),MATCH(I$1,products!$A$1:$G$1,0))</f>
        <v>Exc</v>
      </c>
      <c r="J178" t="str" cm="1">
        <f t="array" ref="J178">INDEX(products!$B$2:$E$49,MATCH($D178,products!$A$2:$A$49,0),COLUMN(B177))</f>
        <v>L</v>
      </c>
      <c r="K178" s="4" cm="1">
        <f t="array" ref="K178">INDEX(products!$B$2:$E$49,MATCH($D178,products!$A$2:$A$49,0),COLUMN(C177))</f>
        <v>2.5</v>
      </c>
      <c r="L178" s="5" cm="1">
        <f t="array" ref="L178">INDEX(products!$B$2:$E$49,MATCH($D178,products!$A$2:$A$49,0),COLUMN(D177))</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INDEX(products!$A$1:$G$49,MATCH($D179,products!$A$1:$A$49,0),MATCH(I$1,products!$A$1:$G$1,0))</f>
        <v>Rob</v>
      </c>
      <c r="J179" t="str" cm="1">
        <f t="array" ref="J179">INDEX(products!$B$2:$E$49,MATCH($D179,products!$A$2:$A$49,0),COLUMN(B178))</f>
        <v>L</v>
      </c>
      <c r="K179" s="4" cm="1">
        <f t="array" ref="K179">INDEX(products!$B$2:$E$49,MATCH($D179,products!$A$2:$A$49,0),COLUMN(C178))</f>
        <v>2.5</v>
      </c>
      <c r="L179" s="5" cm="1">
        <f t="array" ref="L179">INDEX(products!$B$2:$E$49,MATCH($D179,products!$A$2:$A$49,0),COLUMN(D178))</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INDEX(products!$A$1:$G$49,MATCH($D180,products!$A$1:$A$49,0),MATCH(I$1,products!$A$1:$G$1,0))</f>
        <v>Ara</v>
      </c>
      <c r="J180" t="str" cm="1">
        <f t="array" ref="J180">INDEX(products!$B$2:$E$49,MATCH($D180,products!$A$2:$A$49,0),COLUMN(B179))</f>
        <v>L</v>
      </c>
      <c r="K180" s="4" cm="1">
        <f t="array" ref="K180">INDEX(products!$B$2:$E$49,MATCH($D180,products!$A$2:$A$49,0),COLUMN(C179))</f>
        <v>1</v>
      </c>
      <c r="L180" s="5" cm="1">
        <f t="array" ref="L180">INDEX(products!$B$2:$E$49,MATCH($D180,products!$A$2:$A$49,0),COLUMN(D179))</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f>
        <v>Tiffany Scardafield</v>
      </c>
      <c r="G181" s="2" t="str">
        <f>IF(_xlfn.XLOOKUP(C181,customers!$A$1:$A$1001,customers!$C$1:$C$1001,,0)=0,"",(_xlfn.XLOOKUP(C181,customers!$A$1:$A$1001,customers!$C$1:$C$1001,,0)))</f>
        <v/>
      </c>
      <c r="H181" s="2" t="str">
        <f>_xlfn.XLOOKUP(C181,customers!$A$1:$A$1001,customers!$G$1:$G$1001,,0)</f>
        <v>Ireland</v>
      </c>
      <c r="I181" t="str">
        <f>INDEX(products!$A$1:$G$49,MATCH($D181,products!$A$1:$A$49,0),MATCH(I$1,products!$A$1:$G$1,0))</f>
        <v>Ara</v>
      </c>
      <c r="J181" t="str" cm="1">
        <f t="array" ref="J181">INDEX(products!$B$2:$E$49,MATCH($D181,products!$A$2:$A$49,0),COLUMN(B180))</f>
        <v>D</v>
      </c>
      <c r="K181" s="4" cm="1">
        <f t="array" ref="K181">INDEX(products!$B$2:$E$49,MATCH($D181,products!$A$2:$A$49,0),COLUMN(C180))</f>
        <v>0.2</v>
      </c>
      <c r="L181" s="5" cm="1">
        <f t="array" ref="L181">INDEX(products!$B$2:$E$49,MATCH($D181,products!$A$2:$A$49,0),COLUMN(D180))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INDEX(products!$A$1:$G$49,MATCH($D182,products!$A$1:$A$49,0),MATCH(I$1,products!$A$1:$G$1,0))</f>
        <v>Exc</v>
      </c>
      <c r="J182" t="str" cm="1">
        <f t="array" ref="J182">INDEX(products!$B$2:$E$49,MATCH($D182,products!$A$2:$A$49,0),COLUMN(B181))</f>
        <v>L</v>
      </c>
      <c r="K182" s="4" cm="1">
        <f t="array" ref="K182">INDEX(products!$B$2:$E$49,MATCH($D182,products!$A$2:$A$49,0),COLUMN(C181))</f>
        <v>0.2</v>
      </c>
      <c r="L182" s="5" cm="1">
        <f t="array" ref="L182">INDEX(products!$B$2:$E$49,MATCH($D182,products!$A$2:$A$49,0),COLUMN(D181))</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INDEX(products!$A$1:$G$49,MATCH($D183,products!$A$1:$A$49,0),MATCH(I$1,products!$A$1:$G$1,0))</f>
        <v>Ara</v>
      </c>
      <c r="J183" t="str" cm="1">
        <f t="array" ref="J183">INDEX(products!$B$2:$E$49,MATCH($D183,products!$A$2:$A$49,0),COLUMN(B182))</f>
        <v>D</v>
      </c>
      <c r="K183" s="4" cm="1">
        <f t="array" ref="K183">INDEX(products!$B$2:$E$49,MATCH($D183,products!$A$2:$A$49,0),COLUMN(C182))</f>
        <v>0.5</v>
      </c>
      <c r="L183" s="5" cm="1">
        <f t="array" ref="L183">INDEX(products!$B$2:$E$49,MATCH($D183,products!$A$2:$A$49,0),COLUMN(D182))</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INDEX(products!$A$1:$G$49,MATCH($D184,products!$A$1:$A$49,0),MATCH(I$1,products!$A$1:$G$1,0))</f>
        <v>Rob</v>
      </c>
      <c r="J184" t="str" cm="1">
        <f t="array" ref="J184">INDEX(products!$B$2:$E$49,MATCH($D184,products!$A$2:$A$49,0),COLUMN(B183))</f>
        <v>D</v>
      </c>
      <c r="K184" s="4" cm="1">
        <f t="array" ref="K184">INDEX(products!$B$2:$E$49,MATCH($D184,products!$A$2:$A$49,0),COLUMN(C183))</f>
        <v>0.5</v>
      </c>
      <c r="L184" s="5" cm="1">
        <f t="array" ref="L184">INDEX(products!$B$2:$E$49,MATCH($D184,products!$A$2:$A$49,0),COLUMN(D183))</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INDEX(products!$A$1:$G$49,MATCH($D185,products!$A$1:$A$49,0),MATCH(I$1,products!$A$1:$G$1,0))</f>
        <v>Exc</v>
      </c>
      <c r="J185" t="str" cm="1">
        <f t="array" ref="J185">INDEX(products!$B$2:$E$49,MATCH($D185,products!$A$2:$A$49,0),COLUMN(B184))</f>
        <v>M</v>
      </c>
      <c r="K185" s="4" cm="1">
        <f t="array" ref="K185">INDEX(products!$B$2:$E$49,MATCH($D185,products!$A$2:$A$49,0),COLUMN(C184))</f>
        <v>0.2</v>
      </c>
      <c r="L185" s="5" cm="1">
        <f t="array" ref="L185">INDEX(products!$B$2:$E$49,MATCH($D185,products!$A$2:$A$49,0),COLUMN(D184))</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INDEX(products!$A$1:$G$49,MATCH($D186,products!$A$1:$A$49,0),MATCH(I$1,products!$A$1:$G$1,0))</f>
        <v>Ara</v>
      </c>
      <c r="J186" t="str" cm="1">
        <f t="array" ref="J186">INDEX(products!$B$2:$E$49,MATCH($D186,products!$A$2:$A$49,0),COLUMN(B185))</f>
        <v>L</v>
      </c>
      <c r="K186" s="4" cm="1">
        <f t="array" ref="K186">INDEX(products!$B$2:$E$49,MATCH($D186,products!$A$2:$A$49,0),COLUMN(C185))</f>
        <v>0.5</v>
      </c>
      <c r="L186" s="5" cm="1">
        <f t="array" ref="L186">INDEX(products!$B$2:$E$49,MATCH($D186,products!$A$2:$A$49,0),COLUMN(D185))</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INDEX(products!$A$1:$G$49,MATCH($D187,products!$A$1:$A$49,0),MATCH(I$1,products!$A$1:$G$1,0))</f>
        <v>Exc</v>
      </c>
      <c r="J187" t="str" cm="1">
        <f t="array" ref="J187">INDEX(products!$B$2:$E$49,MATCH($D187,products!$A$2:$A$49,0),COLUMN(B186))</f>
        <v>D</v>
      </c>
      <c r="K187" s="4" cm="1">
        <f t="array" ref="K187">INDEX(products!$B$2:$E$49,MATCH($D187,products!$A$2:$A$49,0),COLUMN(C186))</f>
        <v>0.5</v>
      </c>
      <c r="L187" s="5" cm="1">
        <f t="array" ref="L187">INDEX(products!$B$2:$E$49,MATCH($D187,products!$A$2:$A$49,0),COLUMN(D186))</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INDEX(products!$A$1:$G$49,MATCH($D188,products!$A$1:$A$49,0),MATCH(I$1,products!$A$1:$G$1,0))</f>
        <v>Rob</v>
      </c>
      <c r="J188" t="str" cm="1">
        <f t="array" ref="J188">INDEX(products!$B$2:$E$49,MATCH($D188,products!$A$2:$A$49,0),COLUMN(B187))</f>
        <v>M</v>
      </c>
      <c r="K188" s="4" cm="1">
        <f t="array" ref="K188">INDEX(products!$B$2:$E$49,MATCH($D188,products!$A$2:$A$49,0),COLUMN(C187))</f>
        <v>2.5</v>
      </c>
      <c r="L188" s="5" cm="1">
        <f t="array" ref="L188">INDEX(products!$B$2:$E$49,MATCH($D188,products!$A$2:$A$49,0),COLUMN(D187))</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INDEX(products!$A$1:$G$49,MATCH($D189,products!$A$1:$A$49,0),MATCH(I$1,products!$A$1:$G$1,0))</f>
        <v>Lib</v>
      </c>
      <c r="J189" t="str" cm="1">
        <f t="array" ref="J189">INDEX(products!$B$2:$E$49,MATCH($D189,products!$A$2:$A$49,0),COLUMN(B188))</f>
        <v>M</v>
      </c>
      <c r="K189" s="4" cm="1">
        <f t="array" ref="K189">INDEX(products!$B$2:$E$49,MATCH($D189,products!$A$2:$A$49,0),COLUMN(C188))</f>
        <v>0.5</v>
      </c>
      <c r="L189" s="5" cm="1">
        <f t="array" ref="L189">INDEX(products!$B$2:$E$49,MATCH($D189,products!$A$2:$A$49,0),COLUMN(D188))</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INDEX(products!$A$1:$G$49,MATCH($D190,products!$A$1:$A$49,0),MATCH(I$1,products!$A$1:$G$1,0))</f>
        <v>Exc</v>
      </c>
      <c r="J190" t="str" cm="1">
        <f t="array" ref="J190">INDEX(products!$B$2:$E$49,MATCH($D190,products!$A$2:$A$49,0),COLUMN(B189))</f>
        <v>L</v>
      </c>
      <c r="K190" s="4" cm="1">
        <f t="array" ref="K190">INDEX(products!$B$2:$E$49,MATCH($D190,products!$A$2:$A$49,0),COLUMN(C189))</f>
        <v>0.2</v>
      </c>
      <c r="L190" s="5" cm="1">
        <f t="array" ref="L190">INDEX(products!$B$2:$E$49,MATCH($D190,products!$A$2:$A$49,0),COLUMN(D189))</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INDEX(products!$A$1:$G$49,MATCH($D191,products!$A$1:$A$49,0),MATCH(I$1,products!$A$1:$G$1,0))</f>
        <v>Lib</v>
      </c>
      <c r="J191" t="str" cm="1">
        <f t="array" ref="J191">INDEX(products!$B$2:$E$49,MATCH($D191,products!$A$2:$A$49,0),COLUMN(B190))</f>
        <v>M</v>
      </c>
      <c r="K191" s="4" cm="1">
        <f t="array" ref="K191">INDEX(products!$B$2:$E$49,MATCH($D191,products!$A$2:$A$49,0),COLUMN(C190))</f>
        <v>1</v>
      </c>
      <c r="L191" s="5" cm="1">
        <f t="array" ref="L191">INDEX(products!$B$2:$E$49,MATCH($D191,products!$A$2:$A$49,0),COLUMN(D190))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INDEX(products!$A$1:$G$49,MATCH($D192,products!$A$1:$A$49,0),MATCH(I$1,products!$A$1:$G$1,0))</f>
        <v>Lib</v>
      </c>
      <c r="J192" t="str" cm="1">
        <f t="array" ref="J192">INDEX(products!$B$2:$E$49,MATCH($D192,products!$A$2:$A$49,0),COLUMN(B191))</f>
        <v>M</v>
      </c>
      <c r="K192" s="4" cm="1">
        <f t="array" ref="K192">INDEX(products!$B$2:$E$49,MATCH($D192,products!$A$2:$A$49,0),COLUMN(C191))</f>
        <v>2.5</v>
      </c>
      <c r="L192" s="5" cm="1">
        <f t="array" ref="L192">INDEX(products!$B$2:$E$49,MATCH($D192,products!$A$2:$A$49,0),COLUMN(D191))</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INDEX(products!$A$1:$G$49,MATCH($D193,products!$A$1:$A$49,0),MATCH(I$1,products!$A$1:$G$1,0))</f>
        <v>Lib</v>
      </c>
      <c r="J193" t="str" cm="1">
        <f t="array" ref="J193">INDEX(products!$B$2:$E$49,MATCH($D193,products!$A$2:$A$49,0),COLUMN(B192))</f>
        <v>D</v>
      </c>
      <c r="K193" s="4" cm="1">
        <f t="array" ref="K193">INDEX(products!$B$2:$E$49,MATCH($D193,products!$A$2:$A$49,0),COLUMN(C192))</f>
        <v>0.2</v>
      </c>
      <c r="L193" s="5" cm="1">
        <f t="array" ref="L193">INDEX(products!$B$2:$E$49,MATCH($D193,products!$A$2:$A$49,0),COLUMN(D192))</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INDEX(products!$A$1:$G$49,MATCH($D194,products!$A$1:$A$49,0),MATCH(I$1,products!$A$1:$G$1,0))</f>
        <v>Exc</v>
      </c>
      <c r="J194" t="str" cm="1">
        <f t="array" ref="J194">INDEX(products!$B$2:$E$49,MATCH($D194,products!$A$2:$A$49,0),COLUMN(B193))</f>
        <v>D</v>
      </c>
      <c r="K194" s="4" cm="1">
        <f t="array" ref="K194">INDEX(products!$B$2:$E$49,MATCH($D194,products!$A$2:$A$49,0),COLUMN(C193))</f>
        <v>1</v>
      </c>
      <c r="L194" s="5" cm="1">
        <f t="array" ref="L194">INDEX(products!$B$2:$E$49,MATCH($D194,products!$A$2:$A$49,0),COLUMN(D193))</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f>
        <v>Kimberli Mustchin</v>
      </c>
      <c r="G195" s="2" t="str">
        <f>IF(_xlfn.XLOOKUP(C195,customers!$A$1:$A$1001,customers!$C$1:$C$1001,,0)=0,"",(_xlfn.XLOOKUP(C195,customers!$A$1:$A$1001,customers!$C$1:$C$1001,,0)))</f>
        <v/>
      </c>
      <c r="H195" s="2" t="str">
        <f>_xlfn.XLOOKUP(C195,customers!$A$1:$A$1001,customers!$G$1:$G$1001,,0)</f>
        <v>United States</v>
      </c>
      <c r="I195" t="str">
        <f>INDEX(products!$A$1:$G$49,MATCH($D195,products!$A$1:$A$49,0),MATCH(I$1,products!$A$1:$G$1,0))</f>
        <v>Exc</v>
      </c>
      <c r="J195" t="str" cm="1">
        <f t="array" ref="J195">INDEX(products!$B$2:$E$49,MATCH($D195,products!$A$2:$A$49,0),COLUMN(B194))</f>
        <v>L</v>
      </c>
      <c r="K195" s="4" cm="1">
        <f t="array" ref="K195">INDEX(products!$B$2:$E$49,MATCH($D195,products!$A$2:$A$49,0),COLUMN(C194))</f>
        <v>1</v>
      </c>
      <c r="L195" s="5" cm="1">
        <f t="array" ref="L195">INDEX(products!$B$2:$E$49,MATCH($D195,products!$A$2:$A$49,0),COLUMN(D194))</f>
        <v>14.85</v>
      </c>
      <c r="M195" s="5">
        <f t="shared" ref="M195:M258" si="9">E195*L195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INDEX(products!$A$1:$G$49,MATCH($D196,products!$A$1:$A$49,0),MATCH(I$1,products!$A$1:$G$1,0))</f>
        <v>Exc</v>
      </c>
      <c r="J196" t="str" cm="1">
        <f t="array" ref="J196">INDEX(products!$B$2:$E$49,MATCH($D196,products!$A$2:$A$49,0),COLUMN(B195))</f>
        <v>D</v>
      </c>
      <c r="K196" s="4" cm="1">
        <f t="array" ref="K196">INDEX(products!$B$2:$E$49,MATCH($D196,products!$A$2:$A$49,0),COLUMN(C195))</f>
        <v>0.5</v>
      </c>
      <c r="L196" s="5" cm="1">
        <f t="array" ref="L196">INDEX(products!$B$2:$E$49,MATCH($D196,products!$A$2:$A$49,0),COLUMN(D195))</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INDEX(products!$A$1:$G$49,MATCH($D197,products!$A$1:$A$49,0),MATCH(I$1,products!$A$1:$G$1,0))</f>
        <v>Ara</v>
      </c>
      <c r="J197" t="str" cm="1">
        <f t="array" ref="J197">INDEX(products!$B$2:$E$49,MATCH($D197,products!$A$2:$A$49,0),COLUMN(B196))</f>
        <v>L</v>
      </c>
      <c r="K197" s="4" cm="1">
        <f t="array" ref="K197">INDEX(products!$B$2:$E$49,MATCH($D197,products!$A$2:$A$49,0),COLUMN(C196))</f>
        <v>1</v>
      </c>
      <c r="L197" s="5" cm="1">
        <f t="array" ref="L197">INDEX(products!$B$2:$E$49,MATCH($D197,products!$A$2:$A$49,0),COLUMN(D196))</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INDEX(products!$A$1:$G$49,MATCH($D198,products!$A$1:$A$49,0),MATCH(I$1,products!$A$1:$G$1,0))</f>
        <v>Exc</v>
      </c>
      <c r="J198" t="str" cm="1">
        <f t="array" ref="J198">INDEX(products!$B$2:$E$49,MATCH($D198,products!$A$2:$A$49,0),COLUMN(B197))</f>
        <v>L</v>
      </c>
      <c r="K198" s="4" cm="1">
        <f t="array" ref="K198">INDEX(products!$B$2:$E$49,MATCH($D198,products!$A$2:$A$49,0),COLUMN(C197))</f>
        <v>0.5</v>
      </c>
      <c r="L198" s="5" cm="1">
        <f t="array" ref="L198">INDEX(products!$B$2:$E$49,MATCH($D198,products!$A$2:$A$49,0),COLUMN(D197))</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INDEX(products!$A$1:$G$49,MATCH($D199,products!$A$1:$A$49,0),MATCH(I$1,products!$A$1:$G$1,0))</f>
        <v>Lib</v>
      </c>
      <c r="J199" t="str" cm="1">
        <f t="array" ref="J199">INDEX(products!$B$2:$E$49,MATCH($D199,products!$A$2:$A$49,0),COLUMN(B198))</f>
        <v>D</v>
      </c>
      <c r="K199" s="4" cm="1">
        <f t="array" ref="K199">INDEX(products!$B$2:$E$49,MATCH($D199,products!$A$2:$A$49,0),COLUMN(C198))</f>
        <v>2.5</v>
      </c>
      <c r="L199" s="5" cm="1">
        <f t="array" ref="L199">INDEX(products!$B$2:$E$49,MATCH($D199,products!$A$2:$A$49,0),COLUMN(D198))</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INDEX(products!$A$1:$G$49,MATCH($D200,products!$A$1:$A$49,0),MATCH(I$1,products!$A$1:$G$1,0))</f>
        <v>Lib</v>
      </c>
      <c r="J200" t="str" cm="1">
        <f t="array" ref="J200">INDEX(products!$B$2:$E$49,MATCH($D200,products!$A$2:$A$49,0),COLUMN(B199))</f>
        <v>D</v>
      </c>
      <c r="K200" s="4" cm="1">
        <f t="array" ref="K200">INDEX(products!$B$2:$E$49,MATCH($D200,products!$A$2:$A$49,0),COLUMN(C199))</f>
        <v>2.5</v>
      </c>
      <c r="L200" s="5" cm="1">
        <f t="array" ref="L200">INDEX(products!$B$2:$E$49,MATCH($D200,products!$A$2:$A$49,0),COLUMN(D199))</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INDEX(products!$A$1:$G$49,MATCH($D201,products!$A$1:$A$49,0),MATCH(I$1,products!$A$1:$G$1,0))</f>
        <v>Lib</v>
      </c>
      <c r="J201" t="str" cm="1">
        <f t="array" ref="J201">INDEX(products!$B$2:$E$49,MATCH($D201,products!$A$2:$A$49,0),COLUMN(B200))</f>
        <v>L</v>
      </c>
      <c r="K201" s="4" cm="1">
        <f t="array" ref="K201">INDEX(products!$B$2:$E$49,MATCH($D201,products!$A$2:$A$49,0),COLUMN(C200))</f>
        <v>0.5</v>
      </c>
      <c r="L201" s="5" cm="1">
        <f t="array" ref="L201">INDEX(products!$B$2:$E$49,MATCH($D201,products!$A$2:$A$49,0),COLUMN(D200))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INDEX(products!$A$1:$G$49,MATCH($D202,products!$A$1:$A$49,0),MATCH(I$1,products!$A$1:$G$1,0))</f>
        <v>Exc</v>
      </c>
      <c r="J202" t="str" cm="1">
        <f t="array" ref="J202">INDEX(products!$B$2:$E$49,MATCH($D202,products!$A$2:$A$49,0),COLUMN(B201))</f>
        <v>M</v>
      </c>
      <c r="K202" s="4" cm="1">
        <f t="array" ref="K202">INDEX(products!$B$2:$E$49,MATCH($D202,products!$A$2:$A$49,0),COLUMN(C201))</f>
        <v>1</v>
      </c>
      <c r="L202" s="5" cm="1">
        <f t="array" ref="L202">INDEX(products!$B$2:$E$49,MATCH($D202,products!$A$2:$A$49,0),COLUMN(D201))</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f>
        <v>Adriana Lazarus</v>
      </c>
      <c r="G203" s="2" t="str">
        <f>IF(_xlfn.XLOOKUP(C203,customers!$A$1:$A$1001,customers!$C$1:$C$1001,,0)=0,"",(_xlfn.XLOOKUP(C203,customers!$A$1:$A$1001,customers!$C$1:$C$1001,,0)))</f>
        <v/>
      </c>
      <c r="H203" s="2" t="str">
        <f>_xlfn.XLOOKUP(C203,customers!$A$1:$A$1001,customers!$G$1:$G$1001,,0)</f>
        <v>United States</v>
      </c>
      <c r="I203" t="str">
        <f>INDEX(products!$A$1:$G$49,MATCH($D203,products!$A$1:$A$49,0),MATCH(I$1,products!$A$1:$G$1,0))</f>
        <v>Lib</v>
      </c>
      <c r="J203" t="str" cm="1">
        <f t="array" ref="J203">INDEX(products!$B$2:$E$49,MATCH($D203,products!$A$2:$A$49,0),COLUMN(B202))</f>
        <v>L</v>
      </c>
      <c r="K203" s="4" cm="1">
        <f t="array" ref="K203">INDEX(products!$B$2:$E$49,MATCH($D203,products!$A$2:$A$49,0),COLUMN(C202))</f>
        <v>0.5</v>
      </c>
      <c r="L203" s="5" cm="1">
        <f t="array" ref="L203">INDEX(products!$B$2:$E$49,MATCH($D203,products!$A$2:$A$49,0),COLUMN(D202))</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INDEX(products!$A$1:$G$49,MATCH($D204,products!$A$1:$A$49,0),MATCH(I$1,products!$A$1:$G$1,0))</f>
        <v>Lib</v>
      </c>
      <c r="J204" t="str" cm="1">
        <f t="array" ref="J204">INDEX(products!$B$2:$E$49,MATCH($D204,products!$A$2:$A$49,0),COLUMN(B203))</f>
        <v>D</v>
      </c>
      <c r="K204" s="4" cm="1">
        <f t="array" ref="K204">INDEX(products!$B$2:$E$49,MATCH($D204,products!$A$2:$A$49,0),COLUMN(C203))</f>
        <v>2.5</v>
      </c>
      <c r="L204" s="5" cm="1">
        <f t="array" ref="L204">INDEX(products!$B$2:$E$49,MATCH($D204,products!$A$2:$A$49,0),COLUMN(D203))</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INDEX(products!$A$1:$G$49,MATCH($D205,products!$A$1:$A$49,0),MATCH(I$1,products!$A$1:$G$1,0))</f>
        <v>Lib</v>
      </c>
      <c r="J205" t="str" cm="1">
        <f t="array" ref="J205">INDEX(products!$B$2:$E$49,MATCH($D205,products!$A$2:$A$49,0),COLUMN(B204))</f>
        <v>L</v>
      </c>
      <c r="K205" s="4" cm="1">
        <f t="array" ref="K205">INDEX(products!$B$2:$E$49,MATCH($D205,products!$A$2:$A$49,0),COLUMN(C204))</f>
        <v>0.2</v>
      </c>
      <c r="L205" s="5" cm="1">
        <f t="array" ref="L205">INDEX(products!$B$2:$E$49,MATCH($D205,products!$A$2:$A$49,0),COLUMN(D204))</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f>
        <v>Sarette Ducarel</v>
      </c>
      <c r="G206" s="2" t="str">
        <f>IF(_xlfn.XLOOKUP(C206,customers!$A$1:$A$1001,customers!$C$1:$C$1001,,0)=0,"",(_xlfn.XLOOKUP(C206,customers!$A$1:$A$1001,customers!$C$1:$C$1001,,0)))</f>
        <v/>
      </c>
      <c r="H206" s="2" t="str">
        <f>_xlfn.XLOOKUP(C206,customers!$A$1:$A$1001,customers!$G$1:$G$1001,,0)</f>
        <v>United States</v>
      </c>
      <c r="I206" t="str">
        <f>INDEX(products!$A$1:$G$49,MATCH($D206,products!$A$1:$A$49,0),MATCH(I$1,products!$A$1:$G$1,0))</f>
        <v>Exc</v>
      </c>
      <c r="J206" t="str" cm="1">
        <f t="array" ref="J206">INDEX(products!$B$2:$E$49,MATCH($D206,products!$A$2:$A$49,0),COLUMN(B205))</f>
        <v>M</v>
      </c>
      <c r="K206" s="4" cm="1">
        <f t="array" ref="K206">INDEX(products!$B$2:$E$49,MATCH($D206,products!$A$2:$A$49,0),COLUMN(C205))</f>
        <v>1</v>
      </c>
      <c r="L206" s="5" cm="1">
        <f t="array" ref="L206">INDEX(products!$B$2:$E$49,MATCH($D206,products!$A$2:$A$49,0),COLUMN(D205))</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f>
        <v>Kendra Glison</v>
      </c>
      <c r="G207" s="2" t="str">
        <f>IF(_xlfn.XLOOKUP(C207,customers!$A$1:$A$1001,customers!$C$1:$C$1001,,0)=0,"",(_xlfn.XLOOKUP(C207,customers!$A$1:$A$1001,customers!$C$1:$C$1001,,0)))</f>
        <v/>
      </c>
      <c r="H207" s="2" t="str">
        <f>_xlfn.XLOOKUP(C207,customers!$A$1:$A$1001,customers!$G$1:$G$1001,,0)</f>
        <v>United States</v>
      </c>
      <c r="I207" t="str">
        <f>INDEX(products!$A$1:$G$49,MATCH($D207,products!$A$1:$A$49,0),MATCH(I$1,products!$A$1:$G$1,0))</f>
        <v>Rob</v>
      </c>
      <c r="J207" t="str" cm="1">
        <f t="array" ref="J207">INDEX(products!$B$2:$E$49,MATCH($D207,products!$A$2:$A$49,0),COLUMN(B206))</f>
        <v>D</v>
      </c>
      <c r="K207" s="4" cm="1">
        <f t="array" ref="K207">INDEX(products!$B$2:$E$49,MATCH($D207,products!$A$2:$A$49,0),COLUMN(C206))</f>
        <v>0.2</v>
      </c>
      <c r="L207" s="5" cm="1">
        <f t="array" ref="L207">INDEX(products!$B$2:$E$49,MATCH($D207,products!$A$2:$A$49,0),COLUMN(D206))</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INDEX(products!$A$1:$G$49,MATCH($D208,products!$A$1:$A$49,0),MATCH(I$1,products!$A$1:$G$1,0))</f>
        <v>Ara</v>
      </c>
      <c r="J208" t="str" cm="1">
        <f t="array" ref="J208">INDEX(products!$B$2:$E$49,MATCH($D208,products!$A$2:$A$49,0),COLUMN(B207))</f>
        <v>M</v>
      </c>
      <c r="K208" s="4" cm="1">
        <f t="array" ref="K208">INDEX(products!$B$2:$E$49,MATCH($D208,products!$A$2:$A$49,0),COLUMN(C207))</f>
        <v>1</v>
      </c>
      <c r="L208" s="5" cm="1">
        <f t="array" ref="L208">INDEX(products!$B$2:$E$49,MATCH($D208,products!$A$2:$A$49,0),COLUMN(D207))</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INDEX(products!$A$1:$G$49,MATCH($D209,products!$A$1:$A$49,0),MATCH(I$1,products!$A$1:$G$1,0))</f>
        <v>Ara</v>
      </c>
      <c r="J209" t="str" cm="1">
        <f t="array" ref="J209">INDEX(products!$B$2:$E$49,MATCH($D209,products!$A$2:$A$49,0),COLUMN(B208))</f>
        <v>M</v>
      </c>
      <c r="K209" s="4" cm="1">
        <f t="array" ref="K209">INDEX(products!$B$2:$E$49,MATCH($D209,products!$A$2:$A$49,0),COLUMN(C208))</f>
        <v>0.5</v>
      </c>
      <c r="L209" s="5" cm="1">
        <f t="array" ref="L209">INDEX(products!$B$2:$E$49,MATCH($D209,products!$A$2:$A$49,0),COLUMN(D208))</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INDEX(products!$A$1:$G$49,MATCH($D210,products!$A$1:$A$49,0),MATCH(I$1,products!$A$1:$G$1,0))</f>
        <v>Exc</v>
      </c>
      <c r="J210" t="str" cm="1">
        <f t="array" ref="J210">INDEX(products!$B$2:$E$49,MATCH($D210,products!$A$2:$A$49,0),COLUMN(B209))</f>
        <v>D</v>
      </c>
      <c r="K210" s="4" cm="1">
        <f t="array" ref="K210">INDEX(products!$B$2:$E$49,MATCH($D210,products!$A$2:$A$49,0),COLUMN(C209))</f>
        <v>0.5</v>
      </c>
      <c r="L210" s="5" cm="1">
        <f t="array" ref="L210">INDEX(products!$B$2:$E$49,MATCH($D210,products!$A$2:$A$49,0),COLUMN(D209))</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INDEX(products!$A$1:$G$49,MATCH($D211,products!$A$1:$A$49,0),MATCH(I$1,products!$A$1:$G$1,0))</f>
        <v>Ara</v>
      </c>
      <c r="J211" t="str" cm="1">
        <f t="array" ref="J211">INDEX(products!$B$2:$E$49,MATCH($D211,products!$A$2:$A$49,0),COLUMN(B210))</f>
        <v>M</v>
      </c>
      <c r="K211" s="4" cm="1">
        <f t="array" ref="K211">INDEX(products!$B$2:$E$49,MATCH($D211,products!$A$2:$A$49,0),COLUMN(C210))</f>
        <v>0.5</v>
      </c>
      <c r="L211" s="5" cm="1">
        <f t="array" ref="L211">INDEX(products!$B$2:$E$49,MATCH($D211,products!$A$2:$A$49,0),COLUMN(D210))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INDEX(products!$A$1:$G$49,MATCH($D212,products!$A$1:$A$49,0),MATCH(I$1,products!$A$1:$G$1,0))</f>
        <v>Lib</v>
      </c>
      <c r="J212" t="str" cm="1">
        <f t="array" ref="J212">INDEX(products!$B$2:$E$49,MATCH($D212,products!$A$2:$A$49,0),COLUMN(B211))</f>
        <v>D</v>
      </c>
      <c r="K212" s="4" cm="1">
        <f t="array" ref="K212">INDEX(products!$B$2:$E$49,MATCH($D212,products!$A$2:$A$49,0),COLUMN(C211))</f>
        <v>1</v>
      </c>
      <c r="L212" s="5" cm="1">
        <f t="array" ref="L212">INDEX(products!$B$2:$E$49,MATCH($D212,products!$A$2:$A$49,0),COLUMN(D211))</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INDEX(products!$A$1:$G$49,MATCH($D213,products!$A$1:$A$49,0),MATCH(I$1,products!$A$1:$G$1,0))</f>
        <v>Exc</v>
      </c>
      <c r="J213" t="str" cm="1">
        <f t="array" ref="J213">INDEX(products!$B$2:$E$49,MATCH($D213,products!$A$2:$A$49,0),COLUMN(B212))</f>
        <v>L</v>
      </c>
      <c r="K213" s="4" cm="1">
        <f t="array" ref="K213">INDEX(products!$B$2:$E$49,MATCH($D213,products!$A$2:$A$49,0),COLUMN(C212))</f>
        <v>0.5</v>
      </c>
      <c r="L213" s="5" cm="1">
        <f t="array" ref="L213">INDEX(products!$B$2:$E$49,MATCH($D213,products!$A$2:$A$49,0),COLUMN(D212))</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INDEX(products!$A$1:$G$49,MATCH($D214,products!$A$1:$A$49,0),MATCH(I$1,products!$A$1:$G$1,0))</f>
        <v>Exc</v>
      </c>
      <c r="J214" t="str" cm="1">
        <f t="array" ref="J214">INDEX(products!$B$2:$E$49,MATCH($D214,products!$A$2:$A$49,0),COLUMN(B213))</f>
        <v>D</v>
      </c>
      <c r="K214" s="4" cm="1">
        <f t="array" ref="K214">INDEX(products!$B$2:$E$49,MATCH($D214,products!$A$2:$A$49,0),COLUMN(C213))</f>
        <v>0.2</v>
      </c>
      <c r="L214" s="5" cm="1">
        <f t="array" ref="L214">INDEX(products!$B$2:$E$49,MATCH($D214,products!$A$2:$A$49,0),COLUMN(D213))</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INDEX(products!$A$1:$G$49,MATCH($D215,products!$A$1:$A$49,0),MATCH(I$1,products!$A$1:$G$1,0))</f>
        <v>Rob</v>
      </c>
      <c r="J215" t="str" cm="1">
        <f t="array" ref="J215">INDEX(products!$B$2:$E$49,MATCH($D215,products!$A$2:$A$49,0),COLUMN(B214))</f>
        <v>D</v>
      </c>
      <c r="K215" s="4" cm="1">
        <f t="array" ref="K215">INDEX(products!$B$2:$E$49,MATCH($D215,products!$A$2:$A$49,0),COLUMN(C214))</f>
        <v>2.5</v>
      </c>
      <c r="L215" s="5" cm="1">
        <f t="array" ref="L215">INDEX(products!$B$2:$E$49,MATCH($D215,products!$A$2:$A$49,0),COLUMN(D214))</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f>
        <v>Murdock Hame</v>
      </c>
      <c r="G216" s="2" t="str">
        <f>IF(_xlfn.XLOOKUP(C216,customers!$A$1:$A$1001,customers!$C$1:$C$1001,,0)=0,"",(_xlfn.XLOOKUP(C216,customers!$A$1:$A$1001,customers!$C$1:$C$1001,,0)))</f>
        <v>mhame5y@newsvine.com</v>
      </c>
      <c r="H216" s="2" t="str">
        <f>_xlfn.XLOOKUP(C216,customers!$A$1:$A$1001,customers!$G$1:$G$1001,,0)</f>
        <v>Ireland</v>
      </c>
      <c r="I216" t="str">
        <f>INDEX(products!$A$1:$G$49,MATCH($D216,products!$A$1:$A$49,0),MATCH(I$1,products!$A$1:$G$1,0))</f>
        <v>Lib</v>
      </c>
      <c r="J216" t="str" cm="1">
        <f t="array" ref="J216">INDEX(products!$B$2:$E$49,MATCH($D216,products!$A$2:$A$49,0),COLUMN(B215))</f>
        <v>L</v>
      </c>
      <c r="K216" s="4" cm="1">
        <f t="array" ref="K216">INDEX(products!$B$2:$E$49,MATCH($D216,products!$A$2:$A$49,0),COLUMN(C215))</f>
        <v>1</v>
      </c>
      <c r="L216" s="5" cm="1">
        <f t="array" ref="L216">INDEX(products!$B$2:$E$49,MATCH($D216,products!$A$2:$A$49,0),COLUMN(D215))</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INDEX(products!$A$1:$G$49,MATCH($D217,products!$A$1:$A$49,0),MATCH(I$1,products!$A$1:$G$1,0))</f>
        <v>Lib</v>
      </c>
      <c r="J217" t="str" cm="1">
        <f t="array" ref="J217">INDEX(products!$B$2:$E$49,MATCH($D217,products!$A$2:$A$49,0),COLUMN(B216))</f>
        <v>D</v>
      </c>
      <c r="K217" s="4" cm="1">
        <f t="array" ref="K217">INDEX(products!$B$2:$E$49,MATCH($D217,products!$A$2:$A$49,0),COLUMN(C216))</f>
        <v>0.2</v>
      </c>
      <c r="L217" s="5" cm="1">
        <f t="array" ref="L217">INDEX(products!$B$2:$E$49,MATCH($D217,products!$A$2:$A$49,0),COLUMN(D216))</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INDEX(products!$A$1:$G$49,MATCH($D218,products!$A$1:$A$49,0),MATCH(I$1,products!$A$1:$G$1,0))</f>
        <v>Lib</v>
      </c>
      <c r="J218" t="str" cm="1">
        <f t="array" ref="J218">INDEX(products!$B$2:$E$49,MATCH($D218,products!$A$2:$A$49,0),COLUMN(B217))</f>
        <v>M</v>
      </c>
      <c r="K218" s="4" cm="1">
        <f t="array" ref="K218">INDEX(products!$B$2:$E$49,MATCH($D218,products!$A$2:$A$49,0),COLUMN(C217))</f>
        <v>1</v>
      </c>
      <c r="L218" s="5" cm="1">
        <f t="array" ref="L218">INDEX(products!$B$2:$E$49,MATCH($D218,products!$A$2:$A$49,0),COLUMN(D217))</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INDEX(products!$A$1:$G$49,MATCH($D219,products!$A$1:$A$49,0),MATCH(I$1,products!$A$1:$G$1,0))</f>
        <v>Exc</v>
      </c>
      <c r="J219" t="str" cm="1">
        <f t="array" ref="J219">INDEX(products!$B$2:$E$49,MATCH($D219,products!$A$2:$A$49,0),COLUMN(B218))</f>
        <v>L</v>
      </c>
      <c r="K219" s="4" cm="1">
        <f t="array" ref="K219">INDEX(products!$B$2:$E$49,MATCH($D219,products!$A$2:$A$49,0),COLUMN(C218))</f>
        <v>0.5</v>
      </c>
      <c r="L219" s="5" cm="1">
        <f t="array" ref="L219">INDEX(products!$B$2:$E$49,MATCH($D219,products!$A$2:$A$49,0),COLUMN(D218))</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f>
        <v>Rem Furman</v>
      </c>
      <c r="G220" s="2" t="str">
        <f>IF(_xlfn.XLOOKUP(C220,customers!$A$1:$A$1001,customers!$C$1:$C$1001,,0)=0,"",(_xlfn.XLOOKUP(C220,customers!$A$1:$A$1001,customers!$C$1:$C$1001,,0)))</f>
        <v>rfurman62@t.co</v>
      </c>
      <c r="H220" s="2" t="str">
        <f>_xlfn.XLOOKUP(C220,customers!$A$1:$A$1001,customers!$G$1:$G$1001,,0)</f>
        <v>Ireland</v>
      </c>
      <c r="I220" t="str">
        <f>INDEX(products!$A$1:$G$49,MATCH($D220,products!$A$1:$A$49,0),MATCH(I$1,products!$A$1:$G$1,0))</f>
        <v>Ara</v>
      </c>
      <c r="J220" t="str" cm="1">
        <f t="array" ref="J220">INDEX(products!$B$2:$E$49,MATCH($D220,products!$A$2:$A$49,0),COLUMN(B219))</f>
        <v>M</v>
      </c>
      <c r="K220" s="4" cm="1">
        <f t="array" ref="K220">INDEX(products!$B$2:$E$49,MATCH($D220,products!$A$2:$A$49,0),COLUMN(C219))</f>
        <v>1</v>
      </c>
      <c r="L220" s="5" cm="1">
        <f t="array" ref="L220">INDEX(products!$B$2:$E$49,MATCH($D220,products!$A$2:$A$49,0),COLUMN(D219))</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INDEX(products!$A$1:$G$49,MATCH($D221,products!$A$1:$A$49,0),MATCH(I$1,products!$A$1:$G$1,0))</f>
        <v>Rob</v>
      </c>
      <c r="J221" t="str" cm="1">
        <f t="array" ref="J221">INDEX(products!$B$2:$E$49,MATCH($D221,products!$A$2:$A$49,0),COLUMN(B220))</f>
        <v>L</v>
      </c>
      <c r="K221" s="4" cm="1">
        <f t="array" ref="K221">INDEX(products!$B$2:$E$49,MATCH($D221,products!$A$2:$A$49,0),COLUMN(C220))</f>
        <v>0.2</v>
      </c>
      <c r="L221" s="5" cm="1">
        <f t="array" ref="L221">INDEX(products!$B$2:$E$49,MATCH($D221,products!$A$2:$A$49,0),COLUMN(D220))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INDEX(products!$A$1:$G$49,MATCH($D222,products!$A$1:$A$49,0),MATCH(I$1,products!$A$1:$G$1,0))</f>
        <v>Rob</v>
      </c>
      <c r="J222" t="str" cm="1">
        <f t="array" ref="J222">INDEX(products!$B$2:$E$49,MATCH($D222,products!$A$2:$A$49,0),COLUMN(B221))</f>
        <v>M</v>
      </c>
      <c r="K222" s="4" cm="1">
        <f t="array" ref="K222">INDEX(products!$B$2:$E$49,MATCH($D222,products!$A$2:$A$49,0),COLUMN(C221))</f>
        <v>0.2</v>
      </c>
      <c r="L222" s="5" cm="1">
        <f t="array" ref="L222">INDEX(products!$B$2:$E$49,MATCH($D222,products!$A$2:$A$49,0),COLUMN(D221))</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INDEX(products!$A$1:$G$49,MATCH($D223,products!$A$1:$A$49,0),MATCH(I$1,products!$A$1:$G$1,0))</f>
        <v>Ara</v>
      </c>
      <c r="J223" t="str" cm="1">
        <f t="array" ref="J223">INDEX(products!$B$2:$E$49,MATCH($D223,products!$A$2:$A$49,0),COLUMN(B222))</f>
        <v>L</v>
      </c>
      <c r="K223" s="4" cm="1">
        <f t="array" ref="K223">INDEX(products!$B$2:$E$49,MATCH($D223,products!$A$2:$A$49,0),COLUMN(C222))</f>
        <v>1</v>
      </c>
      <c r="L223" s="5" cm="1">
        <f t="array" ref="L223">INDEX(products!$B$2:$E$49,MATCH($D223,products!$A$2:$A$49,0),COLUMN(D222))</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INDEX(products!$A$1:$G$49,MATCH($D224,products!$A$1:$A$49,0),MATCH(I$1,products!$A$1:$G$1,0))</f>
        <v>Lib</v>
      </c>
      <c r="J224" t="str" cm="1">
        <f t="array" ref="J224">INDEX(products!$B$2:$E$49,MATCH($D224,products!$A$2:$A$49,0),COLUMN(B223))</f>
        <v>D</v>
      </c>
      <c r="K224" s="4" cm="1">
        <f t="array" ref="K224">INDEX(products!$B$2:$E$49,MATCH($D224,products!$A$2:$A$49,0),COLUMN(C223))</f>
        <v>0.5</v>
      </c>
      <c r="L224" s="5" cm="1">
        <f t="array" ref="L224">INDEX(products!$B$2:$E$49,MATCH($D224,products!$A$2:$A$49,0),COLUMN(D223))</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f>
        <v>Bobbe Piggott</v>
      </c>
      <c r="G225" s="2" t="str">
        <f>IF(_xlfn.XLOOKUP(C225,customers!$A$1:$A$1001,customers!$C$1:$C$1001,,0)=0,"",(_xlfn.XLOOKUP(C225,customers!$A$1:$A$1001,customers!$C$1:$C$1001,,0)))</f>
        <v/>
      </c>
      <c r="H225" s="2" t="str">
        <f>_xlfn.XLOOKUP(C225,customers!$A$1:$A$1001,customers!$G$1:$G$1001,,0)</f>
        <v>United States</v>
      </c>
      <c r="I225" t="str">
        <f>INDEX(products!$A$1:$G$49,MATCH($D225,products!$A$1:$A$49,0),MATCH(I$1,products!$A$1:$G$1,0))</f>
        <v>Exc</v>
      </c>
      <c r="J225" t="str" cm="1">
        <f t="array" ref="J225">INDEX(products!$B$2:$E$49,MATCH($D225,products!$A$2:$A$49,0),COLUMN(B224))</f>
        <v>L</v>
      </c>
      <c r="K225" s="4" cm="1">
        <f t="array" ref="K225">INDEX(products!$B$2:$E$49,MATCH($D225,products!$A$2:$A$49,0),COLUMN(C224))</f>
        <v>1</v>
      </c>
      <c r="L225" s="5" cm="1">
        <f t="array" ref="L225">INDEX(products!$B$2:$E$49,MATCH($D225,products!$A$2:$A$49,0),COLUMN(D224))</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INDEX(products!$A$1:$G$49,MATCH($D226,products!$A$1:$A$49,0),MATCH(I$1,products!$A$1:$G$1,0))</f>
        <v>Lib</v>
      </c>
      <c r="J226" t="str" cm="1">
        <f t="array" ref="J226">INDEX(products!$B$2:$E$49,MATCH($D226,products!$A$2:$A$49,0),COLUMN(B225))</f>
        <v>D</v>
      </c>
      <c r="K226" s="4" cm="1">
        <f t="array" ref="K226">INDEX(products!$B$2:$E$49,MATCH($D226,products!$A$2:$A$49,0),COLUMN(C225))</f>
        <v>2.5</v>
      </c>
      <c r="L226" s="5" cm="1">
        <f t="array" ref="L226">INDEX(products!$B$2:$E$49,MATCH($D226,products!$A$2:$A$49,0),COLUMN(D225))</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INDEX(products!$A$1:$G$49,MATCH($D227,products!$A$1:$A$49,0),MATCH(I$1,products!$A$1:$G$1,0))</f>
        <v>Rob</v>
      </c>
      <c r="J227" t="str" cm="1">
        <f t="array" ref="J227">INDEX(products!$B$2:$E$49,MATCH($D227,products!$A$2:$A$49,0),COLUMN(B226))</f>
        <v>L</v>
      </c>
      <c r="K227" s="4" cm="1">
        <f t="array" ref="K227">INDEX(products!$B$2:$E$49,MATCH($D227,products!$A$2:$A$49,0),COLUMN(C226))</f>
        <v>0.2</v>
      </c>
      <c r="L227" s="5" cm="1">
        <f t="array" ref="L227">INDEX(products!$B$2:$E$49,MATCH($D227,products!$A$2:$A$49,0),COLUMN(D226))</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INDEX(products!$A$1:$G$49,MATCH($D228,products!$A$1:$A$49,0),MATCH(I$1,products!$A$1:$G$1,0))</f>
        <v>Ara</v>
      </c>
      <c r="J228" t="str" cm="1">
        <f t="array" ref="J228">INDEX(products!$B$2:$E$49,MATCH($D228,products!$A$2:$A$49,0),COLUMN(B227))</f>
        <v>M</v>
      </c>
      <c r="K228" s="4" cm="1">
        <f t="array" ref="K228">INDEX(products!$B$2:$E$49,MATCH($D228,products!$A$2:$A$49,0),COLUMN(C227))</f>
        <v>2.5</v>
      </c>
      <c r="L228" s="5" cm="1">
        <f t="array" ref="L228">INDEX(products!$B$2:$E$49,MATCH($D228,products!$A$2:$A$49,0),COLUMN(D227))</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INDEX(products!$A$1:$G$49,MATCH($D229,products!$A$1:$A$49,0),MATCH(I$1,products!$A$1:$G$1,0))</f>
        <v>Rob</v>
      </c>
      <c r="J229" t="str" cm="1">
        <f t="array" ref="J229">INDEX(products!$B$2:$E$49,MATCH($D229,products!$A$2:$A$49,0),COLUMN(B228))</f>
        <v>D</v>
      </c>
      <c r="K229" s="4" cm="1">
        <f t="array" ref="K229">INDEX(products!$B$2:$E$49,MATCH($D229,products!$A$2:$A$49,0),COLUMN(C228))</f>
        <v>0.2</v>
      </c>
      <c r="L229" s="5" cm="1">
        <f t="array" ref="L229">INDEX(products!$B$2:$E$49,MATCH($D229,products!$A$2:$A$49,0),COLUMN(D228))</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INDEX(products!$A$1:$G$49,MATCH($D230,products!$A$1:$A$49,0),MATCH(I$1,products!$A$1:$G$1,0))</f>
        <v>Rob</v>
      </c>
      <c r="J230" t="str" cm="1">
        <f t="array" ref="J230">INDEX(products!$B$2:$E$49,MATCH($D230,products!$A$2:$A$49,0),COLUMN(B229))</f>
        <v>L</v>
      </c>
      <c r="K230" s="4" cm="1">
        <f t="array" ref="K230">INDEX(products!$B$2:$E$49,MATCH($D230,products!$A$2:$A$49,0),COLUMN(C229))</f>
        <v>0.2</v>
      </c>
      <c r="L230" s="5" cm="1">
        <f t="array" ref="L230">INDEX(products!$B$2:$E$49,MATCH($D230,products!$A$2:$A$49,0),COLUMN(D229))</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INDEX(products!$A$1:$G$49,MATCH($D231,products!$A$1:$A$49,0),MATCH(I$1,products!$A$1:$G$1,0))</f>
        <v>Lib</v>
      </c>
      <c r="J231" t="str" cm="1">
        <f t="array" ref="J231">INDEX(products!$B$2:$E$49,MATCH($D231,products!$A$2:$A$49,0),COLUMN(B230))</f>
        <v>M</v>
      </c>
      <c r="K231" s="4" cm="1">
        <f t="array" ref="K231">INDEX(products!$B$2:$E$49,MATCH($D231,products!$A$2:$A$49,0),COLUMN(C230))</f>
        <v>0.2</v>
      </c>
      <c r="L231" s="5" cm="1">
        <f t="array" ref="L231">INDEX(products!$B$2:$E$49,MATCH($D231,products!$A$2:$A$49,0),COLUMN(D230))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INDEX(products!$A$1:$G$49,MATCH($D232,products!$A$1:$A$49,0),MATCH(I$1,products!$A$1:$G$1,0))</f>
        <v>Ara</v>
      </c>
      <c r="J232" t="str" cm="1">
        <f t="array" ref="J232">INDEX(products!$B$2:$E$49,MATCH($D232,products!$A$2:$A$49,0),COLUMN(B231))</f>
        <v>M</v>
      </c>
      <c r="K232" s="4" cm="1">
        <f t="array" ref="K232">INDEX(products!$B$2:$E$49,MATCH($D232,products!$A$2:$A$49,0),COLUMN(C231))</f>
        <v>2.5</v>
      </c>
      <c r="L232" s="5" cm="1">
        <f t="array" ref="L232">INDEX(products!$B$2:$E$49,MATCH($D232,products!$A$2:$A$49,0),COLUMN(D231))</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f>
        <v>Sinclare Edsell</v>
      </c>
      <c r="G233" s="2" t="str">
        <f>IF(_xlfn.XLOOKUP(C233,customers!$A$1:$A$1001,customers!$C$1:$C$1001,,0)=0,"",(_xlfn.XLOOKUP(C233,customers!$A$1:$A$1001,customers!$C$1:$C$1001,,0)))</f>
        <v/>
      </c>
      <c r="H233" s="2" t="str">
        <f>_xlfn.XLOOKUP(C233,customers!$A$1:$A$1001,customers!$G$1:$G$1001,,0)</f>
        <v>United States</v>
      </c>
      <c r="I233" t="str">
        <f>INDEX(products!$A$1:$G$49,MATCH($D233,products!$A$1:$A$49,0),MATCH(I$1,products!$A$1:$G$1,0))</f>
        <v>Lib</v>
      </c>
      <c r="J233" t="str" cm="1">
        <f t="array" ref="J233">INDEX(products!$B$2:$E$49,MATCH($D233,products!$A$2:$A$49,0),COLUMN(B232))</f>
        <v>M</v>
      </c>
      <c r="K233" s="4" cm="1">
        <f t="array" ref="K233">INDEX(products!$B$2:$E$49,MATCH($D233,products!$A$2:$A$49,0),COLUMN(C232))</f>
        <v>0.2</v>
      </c>
      <c r="L233" s="5" cm="1">
        <f t="array" ref="L233">INDEX(products!$B$2:$E$49,MATCH($D233,products!$A$2:$A$49,0),COLUMN(D232))</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INDEX(products!$A$1:$G$49,MATCH($D234,products!$A$1:$A$49,0),MATCH(I$1,products!$A$1:$G$1,0))</f>
        <v>Lib</v>
      </c>
      <c r="J234" t="str" cm="1">
        <f t="array" ref="J234">INDEX(products!$B$2:$E$49,MATCH($D234,products!$A$2:$A$49,0),COLUMN(B233))</f>
        <v>L</v>
      </c>
      <c r="K234" s="4" cm="1">
        <f t="array" ref="K234">INDEX(products!$B$2:$E$49,MATCH($D234,products!$A$2:$A$49,0),COLUMN(C233))</f>
        <v>0.2</v>
      </c>
      <c r="L234" s="5" cm="1">
        <f t="array" ref="L234">INDEX(products!$B$2:$E$49,MATCH($D234,products!$A$2:$A$49,0),COLUMN(D233))</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INDEX(products!$A$1:$G$49,MATCH($D235,products!$A$1:$A$49,0),MATCH(I$1,products!$A$1:$G$1,0))</f>
        <v>Exc</v>
      </c>
      <c r="J235" t="str" cm="1">
        <f t="array" ref="J235">INDEX(products!$B$2:$E$49,MATCH($D235,products!$A$2:$A$49,0),COLUMN(B234))</f>
        <v>M</v>
      </c>
      <c r="K235" s="4" cm="1">
        <f t="array" ref="K235">INDEX(products!$B$2:$E$49,MATCH($D235,products!$A$2:$A$49,0),COLUMN(C234))</f>
        <v>0.2</v>
      </c>
      <c r="L235" s="5" cm="1">
        <f t="array" ref="L235">INDEX(products!$B$2:$E$49,MATCH($D235,products!$A$2:$A$49,0),COLUMN(D234))</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INDEX(products!$A$1:$G$49,MATCH($D236,products!$A$1:$A$49,0),MATCH(I$1,products!$A$1:$G$1,0))</f>
        <v>Lib</v>
      </c>
      <c r="J236" t="str" cm="1">
        <f t="array" ref="J236">INDEX(products!$B$2:$E$49,MATCH($D236,products!$A$2:$A$49,0),COLUMN(B235))</f>
        <v>L</v>
      </c>
      <c r="K236" s="4" cm="1">
        <f t="array" ref="K236">INDEX(products!$B$2:$E$49,MATCH($D236,products!$A$2:$A$49,0),COLUMN(C235))</f>
        <v>2.5</v>
      </c>
      <c r="L236" s="5" cm="1">
        <f t="array" ref="L236">INDEX(products!$B$2:$E$49,MATCH($D236,products!$A$2:$A$49,0),COLUMN(D235))</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f>
        <v>Samuele Ales0</v>
      </c>
      <c r="G237" s="2" t="str">
        <f>IF(_xlfn.XLOOKUP(C237,customers!$A$1:$A$1001,customers!$C$1:$C$1001,,0)=0,"",(_xlfn.XLOOKUP(C237,customers!$A$1:$A$1001,customers!$C$1:$C$1001,,0)))</f>
        <v/>
      </c>
      <c r="H237" s="2" t="str">
        <f>_xlfn.XLOOKUP(C237,customers!$A$1:$A$1001,customers!$G$1:$G$1001,,0)</f>
        <v>Ireland</v>
      </c>
      <c r="I237" t="str">
        <f>INDEX(products!$A$1:$G$49,MATCH($D237,products!$A$1:$A$49,0),MATCH(I$1,products!$A$1:$G$1,0))</f>
        <v>Lib</v>
      </c>
      <c r="J237" t="str" cm="1">
        <f t="array" ref="J237">INDEX(products!$B$2:$E$49,MATCH($D237,products!$A$2:$A$49,0),COLUMN(B236))</f>
        <v>L</v>
      </c>
      <c r="K237" s="4" cm="1">
        <f t="array" ref="K237">INDEX(products!$B$2:$E$49,MATCH($D237,products!$A$2:$A$49,0),COLUMN(C236))</f>
        <v>2.5</v>
      </c>
      <c r="L237" s="5" cm="1">
        <f t="array" ref="L237">INDEX(products!$B$2:$E$49,MATCH($D237,products!$A$2:$A$49,0),COLUMN(D236))</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INDEX(products!$A$1:$G$49,MATCH($D238,products!$A$1:$A$49,0),MATCH(I$1,products!$A$1:$G$1,0))</f>
        <v>Lib</v>
      </c>
      <c r="J238" t="str" cm="1">
        <f t="array" ref="J238">INDEX(products!$B$2:$E$49,MATCH($D238,products!$A$2:$A$49,0),COLUMN(B237))</f>
        <v>D</v>
      </c>
      <c r="K238" s="4" cm="1">
        <f t="array" ref="K238">INDEX(products!$B$2:$E$49,MATCH($D238,products!$A$2:$A$49,0),COLUMN(C237))</f>
        <v>2.5</v>
      </c>
      <c r="L238" s="5" cm="1">
        <f t="array" ref="L238">INDEX(products!$B$2:$E$49,MATCH($D238,products!$A$2:$A$49,0),COLUMN(D237))</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f>
        <v>Craggy Bril</v>
      </c>
      <c r="G239" s="2" t="str">
        <f>IF(_xlfn.XLOOKUP(C239,customers!$A$1:$A$1001,customers!$C$1:$C$1001,,0)=0,"",(_xlfn.XLOOKUP(C239,customers!$A$1:$A$1001,customers!$C$1:$C$1001,,0)))</f>
        <v/>
      </c>
      <c r="H239" s="2" t="str">
        <f>_xlfn.XLOOKUP(C239,customers!$A$1:$A$1001,customers!$G$1:$G$1001,,0)</f>
        <v>United States</v>
      </c>
      <c r="I239" t="str">
        <f>INDEX(products!$A$1:$G$49,MATCH($D239,products!$A$1:$A$49,0),MATCH(I$1,products!$A$1:$G$1,0))</f>
        <v>Rob</v>
      </c>
      <c r="J239" t="str" cm="1">
        <f t="array" ref="J239">INDEX(products!$B$2:$E$49,MATCH($D239,products!$A$2:$A$49,0),COLUMN(B238))</f>
        <v>L</v>
      </c>
      <c r="K239" s="4" cm="1">
        <f t="array" ref="K239">INDEX(products!$B$2:$E$49,MATCH($D239,products!$A$2:$A$49,0),COLUMN(C238))</f>
        <v>0.2</v>
      </c>
      <c r="L239" s="5" cm="1">
        <f t="array" ref="L239">INDEX(products!$B$2:$E$49,MATCH($D239,products!$A$2:$A$49,0),COLUMN(D238))</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INDEX(products!$A$1:$G$49,MATCH($D240,products!$A$1:$A$49,0),MATCH(I$1,products!$A$1:$G$1,0))</f>
        <v>Rob</v>
      </c>
      <c r="J240" t="str" cm="1">
        <f t="array" ref="J240">INDEX(products!$B$2:$E$49,MATCH($D240,products!$A$2:$A$49,0),COLUMN(B239))</f>
        <v>M</v>
      </c>
      <c r="K240" s="4" cm="1">
        <f t="array" ref="K240">INDEX(products!$B$2:$E$49,MATCH($D240,products!$A$2:$A$49,0),COLUMN(C239))</f>
        <v>2.5</v>
      </c>
      <c r="L240" s="5" cm="1">
        <f t="array" ref="L240">INDEX(products!$B$2:$E$49,MATCH($D240,products!$A$2:$A$49,0),COLUMN(D239))</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INDEX(products!$A$1:$G$49,MATCH($D241,products!$A$1:$A$49,0),MATCH(I$1,products!$A$1:$G$1,0))</f>
        <v>Exc</v>
      </c>
      <c r="J241" t="str" cm="1">
        <f t="array" ref="J241">INDEX(products!$B$2:$E$49,MATCH($D241,products!$A$2:$A$49,0),COLUMN(B240))</f>
        <v>L</v>
      </c>
      <c r="K241" s="4" cm="1">
        <f t="array" ref="K241">INDEX(products!$B$2:$E$49,MATCH($D241,products!$A$2:$A$49,0),COLUMN(C240))</f>
        <v>1</v>
      </c>
      <c r="L241" s="5" cm="1">
        <f t="array" ref="L241">INDEX(products!$B$2:$E$49,MATCH($D241,products!$A$2:$A$49,0),COLUMN(D240))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f>
        <v>Codi Littrell</v>
      </c>
      <c r="G242" s="2" t="str">
        <f>IF(_xlfn.XLOOKUP(C242,customers!$A$1:$A$1001,customers!$C$1:$C$1001,,0)=0,"",(_xlfn.XLOOKUP(C242,customers!$A$1:$A$1001,customers!$C$1:$C$1001,,0)))</f>
        <v/>
      </c>
      <c r="H242" s="2" t="str">
        <f>_xlfn.XLOOKUP(C242,customers!$A$1:$A$1001,customers!$G$1:$G$1001,,0)</f>
        <v>United States</v>
      </c>
      <c r="I242" t="str">
        <f>INDEX(products!$A$1:$G$49,MATCH($D242,products!$A$1:$A$49,0),MATCH(I$1,products!$A$1:$G$1,0))</f>
        <v>Ara</v>
      </c>
      <c r="J242" t="str" cm="1">
        <f t="array" ref="J242">INDEX(products!$B$2:$E$49,MATCH($D242,products!$A$2:$A$49,0),COLUMN(B241))</f>
        <v>M</v>
      </c>
      <c r="K242" s="4" cm="1">
        <f t="array" ref="K242">INDEX(products!$B$2:$E$49,MATCH($D242,products!$A$2:$A$49,0),COLUMN(C241))</f>
        <v>2.5</v>
      </c>
      <c r="L242" s="5" cm="1">
        <f t="array" ref="L242">INDEX(products!$B$2:$E$49,MATCH($D242,products!$A$2:$A$49,0),COLUMN(D241))</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f>
        <v>Christel Speak</v>
      </c>
      <c r="G243" s="2" t="str">
        <f>IF(_xlfn.XLOOKUP(C243,customers!$A$1:$A$1001,customers!$C$1:$C$1001,,0)=0,"",(_xlfn.XLOOKUP(C243,customers!$A$1:$A$1001,customers!$C$1:$C$1001,,0)))</f>
        <v/>
      </c>
      <c r="H243" s="2" t="str">
        <f>_xlfn.XLOOKUP(C243,customers!$A$1:$A$1001,customers!$G$1:$G$1001,,0)</f>
        <v>United States</v>
      </c>
      <c r="I243" t="str">
        <f>INDEX(products!$A$1:$G$49,MATCH($D243,products!$A$1:$A$49,0),MATCH(I$1,products!$A$1:$G$1,0))</f>
        <v>Rob</v>
      </c>
      <c r="J243" t="str" cm="1">
        <f t="array" ref="J243">INDEX(products!$B$2:$E$49,MATCH($D243,products!$A$2:$A$49,0),COLUMN(B242))</f>
        <v>M</v>
      </c>
      <c r="K243" s="4" cm="1">
        <f t="array" ref="K243">INDEX(products!$B$2:$E$49,MATCH($D243,products!$A$2:$A$49,0),COLUMN(C242))</f>
        <v>2.5</v>
      </c>
      <c r="L243" s="5" cm="1">
        <f t="array" ref="L243">INDEX(products!$B$2:$E$49,MATCH($D243,products!$A$2:$A$49,0),COLUMN(D242))</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INDEX(products!$A$1:$G$49,MATCH($D244,products!$A$1:$A$49,0),MATCH(I$1,products!$A$1:$G$1,0))</f>
        <v>Exc</v>
      </c>
      <c r="J244" t="str" cm="1">
        <f t="array" ref="J244">INDEX(products!$B$2:$E$49,MATCH($D244,products!$A$2:$A$49,0),COLUMN(B243))</f>
        <v>D</v>
      </c>
      <c r="K244" s="4" cm="1">
        <f t="array" ref="K244">INDEX(products!$B$2:$E$49,MATCH($D244,products!$A$2:$A$49,0),COLUMN(C243))</f>
        <v>1</v>
      </c>
      <c r="L244" s="5" cm="1">
        <f t="array" ref="L244">INDEX(products!$B$2:$E$49,MATCH($D244,products!$A$2:$A$49,0),COLUMN(D243))</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INDEX(products!$A$1:$G$49,MATCH($D245,products!$A$1:$A$49,0),MATCH(I$1,products!$A$1:$G$1,0))</f>
        <v>Exc</v>
      </c>
      <c r="J245" t="str" cm="1">
        <f t="array" ref="J245">INDEX(products!$B$2:$E$49,MATCH($D245,products!$A$2:$A$49,0),COLUMN(B244))</f>
        <v>D</v>
      </c>
      <c r="K245" s="4" cm="1">
        <f t="array" ref="K245">INDEX(products!$B$2:$E$49,MATCH($D245,products!$A$2:$A$49,0),COLUMN(C244))</f>
        <v>0.5</v>
      </c>
      <c r="L245" s="5" cm="1">
        <f t="array" ref="L245">INDEX(products!$B$2:$E$49,MATCH($D245,products!$A$2:$A$49,0),COLUMN(D244))</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INDEX(products!$A$1:$G$49,MATCH($D246,products!$A$1:$A$49,0),MATCH(I$1,products!$A$1:$G$1,0))</f>
        <v>Lib</v>
      </c>
      <c r="J246" t="str" cm="1">
        <f t="array" ref="J246">INDEX(products!$B$2:$E$49,MATCH($D246,products!$A$2:$A$49,0),COLUMN(B245))</f>
        <v>M</v>
      </c>
      <c r="K246" s="4" cm="1">
        <f t="array" ref="K246">INDEX(products!$B$2:$E$49,MATCH($D246,products!$A$2:$A$49,0),COLUMN(C245))</f>
        <v>2.5</v>
      </c>
      <c r="L246" s="5" cm="1">
        <f t="array" ref="L246">INDEX(products!$B$2:$E$49,MATCH($D246,products!$A$2:$A$49,0),COLUMN(D245))</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INDEX(products!$A$1:$G$49,MATCH($D247,products!$A$1:$A$49,0),MATCH(I$1,products!$A$1:$G$1,0))</f>
        <v>Lib</v>
      </c>
      <c r="J247" t="str" cm="1">
        <f t="array" ref="J247">INDEX(products!$B$2:$E$49,MATCH($D247,products!$A$2:$A$49,0),COLUMN(B246))</f>
        <v>L</v>
      </c>
      <c r="K247" s="4" cm="1">
        <f t="array" ref="K247">INDEX(products!$B$2:$E$49,MATCH($D247,products!$A$2:$A$49,0),COLUMN(C246))</f>
        <v>0.2</v>
      </c>
      <c r="L247" s="5" cm="1">
        <f t="array" ref="L247">INDEX(products!$B$2:$E$49,MATCH($D247,products!$A$2:$A$49,0),COLUMN(D246))</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INDEX(products!$A$1:$G$49,MATCH($D248,products!$A$1:$A$49,0),MATCH(I$1,products!$A$1:$G$1,0))</f>
        <v>Lib</v>
      </c>
      <c r="J248" t="str" cm="1">
        <f t="array" ref="J248">INDEX(products!$B$2:$E$49,MATCH($D248,products!$A$2:$A$49,0),COLUMN(B247))</f>
        <v>D</v>
      </c>
      <c r="K248" s="4" cm="1">
        <f t="array" ref="K248">INDEX(products!$B$2:$E$49,MATCH($D248,products!$A$2:$A$49,0),COLUMN(C247))</f>
        <v>1</v>
      </c>
      <c r="L248" s="5" cm="1">
        <f t="array" ref="L248">INDEX(products!$B$2:$E$49,MATCH($D248,products!$A$2:$A$49,0),COLUMN(D247))</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f>
        <v>Delmar Beasant</v>
      </c>
      <c r="G249" s="2" t="str">
        <f>IF(_xlfn.XLOOKUP(C249,customers!$A$1:$A$1001,customers!$C$1:$C$1001,,0)=0,"",(_xlfn.XLOOKUP(C249,customers!$A$1:$A$1001,customers!$C$1:$C$1001,,0)))</f>
        <v/>
      </c>
      <c r="H249" s="2" t="str">
        <f>_xlfn.XLOOKUP(C249,customers!$A$1:$A$1001,customers!$G$1:$G$1001,,0)</f>
        <v>Ireland</v>
      </c>
      <c r="I249" t="str">
        <f>INDEX(products!$A$1:$G$49,MATCH($D249,products!$A$1:$A$49,0),MATCH(I$1,products!$A$1:$G$1,0))</f>
        <v>Rob</v>
      </c>
      <c r="J249" t="str" cm="1">
        <f t="array" ref="J249">INDEX(products!$B$2:$E$49,MATCH($D249,products!$A$2:$A$49,0),COLUMN(B248))</f>
        <v>L</v>
      </c>
      <c r="K249" s="4" cm="1">
        <f t="array" ref="K249">INDEX(products!$B$2:$E$49,MATCH($D249,products!$A$2:$A$49,0),COLUMN(C248))</f>
        <v>0.2</v>
      </c>
      <c r="L249" s="5" cm="1">
        <f t="array" ref="L249">INDEX(products!$B$2:$E$49,MATCH($D249,products!$A$2:$A$49,0),COLUMN(D248))</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INDEX(products!$A$1:$G$49,MATCH($D250,products!$A$1:$A$49,0),MATCH(I$1,products!$A$1:$G$1,0))</f>
        <v>Ara</v>
      </c>
      <c r="J250" t="str" cm="1">
        <f t="array" ref="J250">INDEX(products!$B$2:$E$49,MATCH($D250,products!$A$2:$A$49,0),COLUMN(B249))</f>
        <v>D</v>
      </c>
      <c r="K250" s="4" cm="1">
        <f t="array" ref="K250">INDEX(products!$B$2:$E$49,MATCH($D250,products!$A$2:$A$49,0),COLUMN(C249))</f>
        <v>1</v>
      </c>
      <c r="L250" s="5" cm="1">
        <f t="array" ref="L250">INDEX(products!$B$2:$E$49,MATCH($D250,products!$A$2:$A$49,0),COLUMN(D249))</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INDEX(products!$A$1:$G$49,MATCH($D251,products!$A$1:$A$49,0),MATCH(I$1,products!$A$1:$G$1,0))</f>
        <v>Lib</v>
      </c>
      <c r="J251" t="str" cm="1">
        <f t="array" ref="J251">INDEX(products!$B$2:$E$49,MATCH($D251,products!$A$2:$A$49,0),COLUMN(B250))</f>
        <v>L</v>
      </c>
      <c r="K251" s="4" cm="1">
        <f t="array" ref="K251">INDEX(products!$B$2:$E$49,MATCH($D251,products!$A$2:$A$49,0),COLUMN(C250))</f>
        <v>1</v>
      </c>
      <c r="L251" s="5" cm="1">
        <f t="array" ref="L251">INDEX(products!$B$2:$E$49,MATCH($D251,products!$A$2:$A$49,0),COLUMN(D250))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INDEX(products!$A$1:$G$49,MATCH($D252,products!$A$1:$A$49,0),MATCH(I$1,products!$A$1:$G$1,0))</f>
        <v>Rob</v>
      </c>
      <c r="J252" t="str" cm="1">
        <f t="array" ref="J252">INDEX(products!$B$2:$E$49,MATCH($D252,products!$A$2:$A$49,0),COLUMN(B251))</f>
        <v>M</v>
      </c>
      <c r="K252" s="4" cm="1">
        <f t="array" ref="K252">INDEX(products!$B$2:$E$49,MATCH($D252,products!$A$2:$A$49,0),COLUMN(C251))</f>
        <v>0.2</v>
      </c>
      <c r="L252" s="5" cm="1">
        <f t="array" ref="L252">INDEX(products!$B$2:$E$49,MATCH($D252,products!$A$2:$A$49,0),COLUMN(D251))</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INDEX(products!$A$1:$G$49,MATCH($D253,products!$A$1:$A$49,0),MATCH(I$1,products!$A$1:$G$1,0))</f>
        <v>Exc</v>
      </c>
      <c r="J253" t="str" cm="1">
        <f t="array" ref="J253">INDEX(products!$B$2:$E$49,MATCH($D253,products!$A$2:$A$49,0),COLUMN(B252))</f>
        <v>M</v>
      </c>
      <c r="K253" s="4" cm="1">
        <f t="array" ref="K253">INDEX(products!$B$2:$E$49,MATCH($D253,products!$A$2:$A$49,0),COLUMN(C252))</f>
        <v>1</v>
      </c>
      <c r="L253" s="5" cm="1">
        <f t="array" ref="L253">INDEX(products!$B$2:$E$49,MATCH($D253,products!$A$2:$A$49,0),COLUMN(D252))</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f>
        <v>Devy Bulbrook</v>
      </c>
      <c r="G254" s="2" t="str">
        <f>IF(_xlfn.XLOOKUP(C254,customers!$A$1:$A$1001,customers!$C$1:$C$1001,,0)=0,"",(_xlfn.XLOOKUP(C254,customers!$A$1:$A$1001,customers!$C$1:$C$1001,,0)))</f>
        <v/>
      </c>
      <c r="H254" s="2" t="str">
        <f>_xlfn.XLOOKUP(C254,customers!$A$1:$A$1001,customers!$G$1:$G$1001,,0)</f>
        <v>United States</v>
      </c>
      <c r="I254" t="str">
        <f>INDEX(products!$A$1:$G$49,MATCH($D254,products!$A$1:$A$49,0),MATCH(I$1,products!$A$1:$G$1,0))</f>
        <v>Ara</v>
      </c>
      <c r="J254" t="str" cm="1">
        <f t="array" ref="J254">INDEX(products!$B$2:$E$49,MATCH($D254,products!$A$2:$A$49,0),COLUMN(B253))</f>
        <v>D</v>
      </c>
      <c r="K254" s="4" cm="1">
        <f t="array" ref="K254">INDEX(products!$B$2:$E$49,MATCH($D254,products!$A$2:$A$49,0),COLUMN(C253))</f>
        <v>1</v>
      </c>
      <c r="L254" s="5" cm="1">
        <f t="array" ref="L254">INDEX(products!$B$2:$E$49,MATCH($D254,products!$A$2:$A$49,0),COLUMN(D253))</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INDEX(products!$A$1:$G$49,MATCH($D255,products!$A$1:$A$49,0),MATCH(I$1,products!$A$1:$G$1,0))</f>
        <v>Lib</v>
      </c>
      <c r="J255" t="str" cm="1">
        <f t="array" ref="J255">INDEX(products!$B$2:$E$49,MATCH($D255,products!$A$2:$A$49,0),COLUMN(B254))</f>
        <v>M</v>
      </c>
      <c r="K255" s="4" cm="1">
        <f t="array" ref="K255">INDEX(products!$B$2:$E$49,MATCH($D255,products!$A$2:$A$49,0),COLUMN(C254))</f>
        <v>1</v>
      </c>
      <c r="L255" s="5" cm="1">
        <f t="array" ref="L255">INDEX(products!$B$2:$E$49,MATCH($D255,products!$A$2:$A$49,0),COLUMN(D254))</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INDEX(products!$A$1:$G$49,MATCH($D256,products!$A$1:$A$49,0),MATCH(I$1,products!$A$1:$G$1,0))</f>
        <v>Rob</v>
      </c>
      <c r="J256" t="str" cm="1">
        <f t="array" ref="J256">INDEX(products!$B$2:$E$49,MATCH($D256,products!$A$2:$A$49,0),COLUMN(B255))</f>
        <v>L</v>
      </c>
      <c r="K256" s="4" cm="1">
        <f t="array" ref="K256">INDEX(products!$B$2:$E$49,MATCH($D256,products!$A$2:$A$49,0),COLUMN(C255))</f>
        <v>0.5</v>
      </c>
      <c r="L256" s="5" cm="1">
        <f t="array" ref="L256">INDEX(products!$B$2:$E$49,MATCH($D256,products!$A$2:$A$49,0),COLUMN(D255))</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INDEX(products!$A$1:$G$49,MATCH($D257,products!$A$1:$A$49,0),MATCH(I$1,products!$A$1:$G$1,0))</f>
        <v>Rob</v>
      </c>
      <c r="J257" t="str" cm="1">
        <f t="array" ref="J257">INDEX(products!$B$2:$E$49,MATCH($D257,products!$A$2:$A$49,0),COLUMN(B256))</f>
        <v>L</v>
      </c>
      <c r="K257" s="4" cm="1">
        <f t="array" ref="K257">INDEX(products!$B$2:$E$49,MATCH($D257,products!$A$2:$A$49,0),COLUMN(C256))</f>
        <v>0.5</v>
      </c>
      <c r="L257" s="5" cm="1">
        <f t="array" ref="L257">INDEX(products!$B$2:$E$49,MATCH($D257,products!$A$2:$A$49,0),COLUMN(D256))</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INDEX(products!$A$1:$G$49,MATCH($D258,products!$A$1:$A$49,0),MATCH(I$1,products!$A$1:$G$1,0))</f>
        <v>Lib</v>
      </c>
      <c r="J258" t="str" cm="1">
        <f t="array" ref="J258">INDEX(products!$B$2:$E$49,MATCH($D258,products!$A$2:$A$49,0),COLUMN(B257))</f>
        <v>M</v>
      </c>
      <c r="K258" s="4" cm="1">
        <f t="array" ref="K258">INDEX(products!$B$2:$E$49,MATCH($D258,products!$A$2:$A$49,0),COLUMN(C257))</f>
        <v>0.5</v>
      </c>
      <c r="L258" s="5" cm="1">
        <f t="array" ref="L258">INDEX(products!$B$2:$E$49,MATCH($D258,products!$A$2:$A$49,0),COLUMN(D257))</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INDEX(products!$A$1:$G$49,MATCH($D259,products!$A$1:$A$49,0),MATCH(I$1,products!$A$1:$G$1,0))</f>
        <v>Exc</v>
      </c>
      <c r="J259" t="str" cm="1">
        <f t="array" ref="J259">INDEX(products!$B$2:$E$49,MATCH($D259,products!$A$2:$A$49,0),COLUMN(B258))</f>
        <v>D</v>
      </c>
      <c r="K259" s="4" cm="1">
        <f t="array" ref="K259">INDEX(products!$B$2:$E$49,MATCH($D259,products!$A$2:$A$49,0),COLUMN(C258))</f>
        <v>2.5</v>
      </c>
      <c r="L259" s="5" cm="1">
        <f t="array" ref="L259">INDEX(products!$B$2:$E$49,MATCH($D259,products!$A$2:$A$49,0),COLUMN(D258))</f>
        <v>27.945</v>
      </c>
      <c r="M259" s="5">
        <f t="shared" ref="M259:M322" si="12">E259*L259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INDEX(products!$A$1:$G$49,MATCH($D260,products!$A$1:$A$49,0),MATCH(I$1,products!$A$1:$G$1,0))</f>
        <v>Exc</v>
      </c>
      <c r="J260" t="str" cm="1">
        <f t="array" ref="J260">INDEX(products!$B$2:$E$49,MATCH($D260,products!$A$2:$A$49,0),COLUMN(B259))</f>
        <v>D</v>
      </c>
      <c r="K260" s="4" cm="1">
        <f t="array" ref="K260">INDEX(products!$B$2:$E$49,MATCH($D260,products!$A$2:$A$49,0),COLUMN(C259))</f>
        <v>2.5</v>
      </c>
      <c r="L260" s="5" cm="1">
        <f t="array" ref="L260">INDEX(products!$B$2:$E$49,MATCH($D260,products!$A$2:$A$49,0),COLUMN(D259))</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f>
        <v>Irv Hay</v>
      </c>
      <c r="G261" s="2" t="str">
        <f>IF(_xlfn.XLOOKUP(C261,customers!$A$1:$A$1001,customers!$C$1:$C$1001,,0)=0,"",(_xlfn.XLOOKUP(C261,customers!$A$1:$A$1001,customers!$C$1:$C$1001,,0)))</f>
        <v>ihay77@lulu.com</v>
      </c>
      <c r="H261" s="2" t="str">
        <f>_xlfn.XLOOKUP(C261,customers!$A$1:$A$1001,customers!$G$1:$G$1001,,0)</f>
        <v>United Kingdom</v>
      </c>
      <c r="I261" t="str">
        <f>INDEX(products!$A$1:$G$49,MATCH($D261,products!$A$1:$A$49,0),MATCH(I$1,products!$A$1:$G$1,0))</f>
        <v>Rob</v>
      </c>
      <c r="J261" t="str" cm="1">
        <f t="array" ref="J261">INDEX(products!$B$2:$E$49,MATCH($D261,products!$A$2:$A$49,0),COLUMN(B260))</f>
        <v>M</v>
      </c>
      <c r="K261" s="4" cm="1">
        <f t="array" ref="K261">INDEX(products!$B$2:$E$49,MATCH($D261,products!$A$2:$A$49,0),COLUMN(C260))</f>
        <v>0.2</v>
      </c>
      <c r="L261" s="5" cm="1">
        <f t="array" ref="L261">INDEX(products!$B$2:$E$49,MATCH($D261,products!$A$2:$A$49,0),COLUMN(D260))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INDEX(products!$A$1:$G$49,MATCH($D262,products!$A$1:$A$49,0),MATCH(I$1,products!$A$1:$G$1,0))</f>
        <v>Rob</v>
      </c>
      <c r="J262" t="str" cm="1">
        <f t="array" ref="J262">INDEX(products!$B$2:$E$49,MATCH($D262,products!$A$2:$A$49,0),COLUMN(B261))</f>
        <v>L</v>
      </c>
      <c r="K262" s="4" cm="1">
        <f t="array" ref="K262">INDEX(products!$B$2:$E$49,MATCH($D262,products!$A$2:$A$49,0),COLUMN(C261))</f>
        <v>2.5</v>
      </c>
      <c r="L262" s="5" cm="1">
        <f t="array" ref="L262">INDEX(products!$B$2:$E$49,MATCH($D262,products!$A$2:$A$49,0),COLUMN(D261))</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INDEX(products!$A$1:$G$49,MATCH($D263,products!$A$1:$A$49,0),MATCH(I$1,products!$A$1:$G$1,0))</f>
        <v>Rob</v>
      </c>
      <c r="J263" t="str" cm="1">
        <f t="array" ref="J263">INDEX(products!$B$2:$E$49,MATCH($D263,products!$A$2:$A$49,0),COLUMN(B262))</f>
        <v>L</v>
      </c>
      <c r="K263" s="4" cm="1">
        <f t="array" ref="K263">INDEX(products!$B$2:$E$49,MATCH($D263,products!$A$2:$A$49,0),COLUMN(C262))</f>
        <v>1</v>
      </c>
      <c r="L263" s="5" cm="1">
        <f t="array" ref="L263">INDEX(products!$B$2:$E$49,MATCH($D263,products!$A$2:$A$49,0),COLUMN(D262))</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INDEX(products!$A$1:$G$49,MATCH($D264,products!$A$1:$A$49,0),MATCH(I$1,products!$A$1:$G$1,0))</f>
        <v>Exc</v>
      </c>
      <c r="J264" t="str" cm="1">
        <f t="array" ref="J264">INDEX(products!$B$2:$E$49,MATCH($D264,products!$A$2:$A$49,0),COLUMN(B263))</f>
        <v>M</v>
      </c>
      <c r="K264" s="4" cm="1">
        <f t="array" ref="K264">INDEX(products!$B$2:$E$49,MATCH($D264,products!$A$2:$A$49,0),COLUMN(C263))</f>
        <v>1</v>
      </c>
      <c r="L264" s="5" cm="1">
        <f t="array" ref="L264">INDEX(products!$B$2:$E$49,MATCH($D264,products!$A$2:$A$49,0),COLUMN(D263))</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f>
        <v>Mar McIver</v>
      </c>
      <c r="G265" s="2" t="str">
        <f>IF(_xlfn.XLOOKUP(C265,customers!$A$1:$A$1001,customers!$C$1:$C$1001,,0)=0,"",(_xlfn.XLOOKUP(C265,customers!$A$1:$A$1001,customers!$C$1:$C$1001,,0)))</f>
        <v/>
      </c>
      <c r="H265" s="2" t="str">
        <f>_xlfn.XLOOKUP(C265,customers!$A$1:$A$1001,customers!$G$1:$G$1001,,0)</f>
        <v>United States</v>
      </c>
      <c r="I265" t="str">
        <f>INDEX(products!$A$1:$G$49,MATCH($D265,products!$A$1:$A$49,0),MATCH(I$1,products!$A$1:$G$1,0))</f>
        <v>Lib</v>
      </c>
      <c r="J265" t="str" cm="1">
        <f t="array" ref="J265">INDEX(products!$B$2:$E$49,MATCH($D265,products!$A$2:$A$49,0),COLUMN(B264))</f>
        <v>M</v>
      </c>
      <c r="K265" s="4" cm="1">
        <f t="array" ref="K265">INDEX(products!$B$2:$E$49,MATCH($D265,products!$A$2:$A$49,0),COLUMN(C264))</f>
        <v>2.5</v>
      </c>
      <c r="L265" s="5" cm="1">
        <f t="array" ref="L265">INDEX(products!$B$2:$E$49,MATCH($D265,products!$A$2:$A$49,0),COLUMN(D264))</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f>
        <v>Arabella Fransewich</v>
      </c>
      <c r="G266" s="2" t="str">
        <f>IF(_xlfn.XLOOKUP(C266,customers!$A$1:$A$1001,customers!$C$1:$C$1001,,0)=0,"",(_xlfn.XLOOKUP(C266,customers!$A$1:$A$1001,customers!$C$1:$C$1001,,0)))</f>
        <v/>
      </c>
      <c r="H266" s="2" t="str">
        <f>_xlfn.XLOOKUP(C266,customers!$A$1:$A$1001,customers!$G$1:$G$1001,,0)</f>
        <v>Ireland</v>
      </c>
      <c r="I266" t="str">
        <f>INDEX(products!$A$1:$G$49,MATCH($D266,products!$A$1:$A$49,0),MATCH(I$1,products!$A$1:$G$1,0))</f>
        <v>Rob</v>
      </c>
      <c r="J266" t="str" cm="1">
        <f t="array" ref="J266">INDEX(products!$B$2:$E$49,MATCH($D266,products!$A$2:$A$49,0),COLUMN(B265))</f>
        <v>L</v>
      </c>
      <c r="K266" s="4" cm="1">
        <f t="array" ref="K266">INDEX(products!$B$2:$E$49,MATCH($D266,products!$A$2:$A$49,0),COLUMN(C265))</f>
        <v>1</v>
      </c>
      <c r="L266" s="5" cm="1">
        <f t="array" ref="L266">INDEX(products!$B$2:$E$49,MATCH($D266,products!$A$2:$A$49,0),COLUMN(D265))</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INDEX(products!$A$1:$G$49,MATCH($D267,products!$A$1:$A$49,0),MATCH(I$1,products!$A$1:$G$1,0))</f>
        <v>Ara</v>
      </c>
      <c r="J267" t="str" cm="1">
        <f t="array" ref="J267">INDEX(products!$B$2:$E$49,MATCH($D267,products!$A$2:$A$49,0),COLUMN(B266))</f>
        <v>D</v>
      </c>
      <c r="K267" s="4" cm="1">
        <f t="array" ref="K267">INDEX(products!$B$2:$E$49,MATCH($D267,products!$A$2:$A$49,0),COLUMN(C266))</f>
        <v>0.5</v>
      </c>
      <c r="L267" s="5" cm="1">
        <f t="array" ref="L267">INDEX(products!$B$2:$E$49,MATCH($D267,products!$A$2:$A$49,0),COLUMN(D266))</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INDEX(products!$A$1:$G$49,MATCH($D268,products!$A$1:$A$49,0),MATCH(I$1,products!$A$1:$G$1,0))</f>
        <v>Exc</v>
      </c>
      <c r="J268" t="str" cm="1">
        <f t="array" ref="J268">INDEX(products!$B$2:$E$49,MATCH($D268,products!$A$2:$A$49,0),COLUMN(B267))</f>
        <v>D</v>
      </c>
      <c r="K268" s="4" cm="1">
        <f t="array" ref="K268">INDEX(products!$B$2:$E$49,MATCH($D268,products!$A$2:$A$49,0),COLUMN(C267))</f>
        <v>1</v>
      </c>
      <c r="L268" s="5" cm="1">
        <f t="array" ref="L268">INDEX(products!$B$2:$E$49,MATCH($D268,products!$A$2:$A$49,0),COLUMN(D267))</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INDEX(products!$A$1:$G$49,MATCH($D269,products!$A$1:$A$49,0),MATCH(I$1,products!$A$1:$G$1,0))</f>
        <v>Exc</v>
      </c>
      <c r="J269" t="str" cm="1">
        <f t="array" ref="J269">INDEX(products!$B$2:$E$49,MATCH($D269,products!$A$2:$A$49,0),COLUMN(B268))</f>
        <v>D</v>
      </c>
      <c r="K269" s="4" cm="1">
        <f t="array" ref="K269">INDEX(products!$B$2:$E$49,MATCH($D269,products!$A$2:$A$49,0),COLUMN(C268))</f>
        <v>0.2</v>
      </c>
      <c r="L269" s="5" cm="1">
        <f t="array" ref="L269">INDEX(products!$B$2:$E$49,MATCH($D269,products!$A$2:$A$49,0),COLUMN(D268))</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INDEX(products!$A$1:$G$49,MATCH($D270,products!$A$1:$A$49,0),MATCH(I$1,products!$A$1:$G$1,0))</f>
        <v>Ara</v>
      </c>
      <c r="J270" t="str" cm="1">
        <f t="array" ref="J270">INDEX(products!$B$2:$E$49,MATCH($D270,products!$A$2:$A$49,0),COLUMN(B269))</f>
        <v>D</v>
      </c>
      <c r="K270" s="4" cm="1">
        <f t="array" ref="K270">INDEX(products!$B$2:$E$49,MATCH($D270,products!$A$2:$A$49,0),COLUMN(C269))</f>
        <v>1</v>
      </c>
      <c r="L270" s="5" cm="1">
        <f t="array" ref="L270">INDEX(products!$B$2:$E$49,MATCH($D270,products!$A$2:$A$49,0),COLUMN(D269))</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INDEX(products!$A$1:$G$49,MATCH($D271,products!$A$1:$A$49,0),MATCH(I$1,products!$A$1:$G$1,0))</f>
        <v>Ara</v>
      </c>
      <c r="J271" t="str" cm="1">
        <f t="array" ref="J271">INDEX(products!$B$2:$E$49,MATCH($D271,products!$A$2:$A$49,0),COLUMN(B270))</f>
        <v>D</v>
      </c>
      <c r="K271" s="4" cm="1">
        <f t="array" ref="K271">INDEX(products!$B$2:$E$49,MATCH($D271,products!$A$2:$A$49,0),COLUMN(C270))</f>
        <v>0.2</v>
      </c>
      <c r="L271" s="5" cm="1">
        <f t="array" ref="L271">INDEX(products!$B$2:$E$49,MATCH($D271,products!$A$2:$A$49,0),COLUMN(D270))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f>
        <v>Barney Chisnell</v>
      </c>
      <c r="G272" s="2" t="str">
        <f>IF(_xlfn.XLOOKUP(C272,customers!$A$1:$A$1001,customers!$C$1:$C$1001,,0)=0,"",(_xlfn.XLOOKUP(C272,customers!$A$1:$A$1001,customers!$C$1:$C$1001,,0)))</f>
        <v/>
      </c>
      <c r="H272" s="2" t="str">
        <f>_xlfn.XLOOKUP(C272,customers!$A$1:$A$1001,customers!$G$1:$G$1001,,0)</f>
        <v>Ireland</v>
      </c>
      <c r="I272" t="str">
        <f>INDEX(products!$A$1:$G$49,MATCH($D272,products!$A$1:$A$49,0),MATCH(I$1,products!$A$1:$G$1,0))</f>
        <v>Exc</v>
      </c>
      <c r="J272" t="str" cm="1">
        <f t="array" ref="J272">INDEX(products!$B$2:$E$49,MATCH($D272,products!$A$2:$A$49,0),COLUMN(B271))</f>
        <v>D</v>
      </c>
      <c r="K272" s="4" cm="1">
        <f t="array" ref="K272">INDEX(products!$B$2:$E$49,MATCH($D272,products!$A$2:$A$49,0),COLUMN(C271))</f>
        <v>0.5</v>
      </c>
      <c r="L272" s="5" cm="1">
        <f t="array" ref="L272">INDEX(products!$B$2:$E$49,MATCH($D272,products!$A$2:$A$49,0),COLUMN(D271))</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INDEX(products!$A$1:$G$49,MATCH($D273,products!$A$1:$A$49,0),MATCH(I$1,products!$A$1:$G$1,0))</f>
        <v>Ara</v>
      </c>
      <c r="J273" t="str" cm="1">
        <f t="array" ref="J273">INDEX(products!$B$2:$E$49,MATCH($D273,products!$A$2:$A$49,0),COLUMN(B272))</f>
        <v>D</v>
      </c>
      <c r="K273" s="4" cm="1">
        <f t="array" ref="K273">INDEX(products!$B$2:$E$49,MATCH($D273,products!$A$2:$A$49,0),COLUMN(C272))</f>
        <v>0.2</v>
      </c>
      <c r="L273" s="5" cm="1">
        <f t="array" ref="L273">INDEX(products!$B$2:$E$49,MATCH($D273,products!$A$2:$A$49,0),COLUMN(D272))</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INDEX(products!$A$1:$G$49,MATCH($D274,products!$A$1:$A$49,0),MATCH(I$1,products!$A$1:$G$1,0))</f>
        <v>Rob</v>
      </c>
      <c r="J274" t="str" cm="1">
        <f t="array" ref="J274">INDEX(products!$B$2:$E$49,MATCH($D274,products!$A$2:$A$49,0),COLUMN(B273))</f>
        <v>L</v>
      </c>
      <c r="K274" s="4" cm="1">
        <f t="array" ref="K274">INDEX(products!$B$2:$E$49,MATCH($D274,products!$A$2:$A$49,0),COLUMN(C273))</f>
        <v>1</v>
      </c>
      <c r="L274" s="5" cm="1">
        <f t="array" ref="L274">INDEX(products!$B$2:$E$49,MATCH($D274,products!$A$2:$A$49,0),COLUMN(D273))</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INDEX(products!$A$1:$G$49,MATCH($D275,products!$A$1:$A$49,0),MATCH(I$1,products!$A$1:$G$1,0))</f>
        <v>Ara</v>
      </c>
      <c r="J275" t="str" cm="1">
        <f t="array" ref="J275">INDEX(products!$B$2:$E$49,MATCH($D275,products!$A$2:$A$49,0),COLUMN(B274))</f>
        <v>L</v>
      </c>
      <c r="K275" s="4" cm="1">
        <f t="array" ref="K275">INDEX(products!$B$2:$E$49,MATCH($D275,products!$A$2:$A$49,0),COLUMN(C274))</f>
        <v>0.2</v>
      </c>
      <c r="L275" s="5" cm="1">
        <f t="array" ref="L275">INDEX(products!$B$2:$E$49,MATCH($D275,products!$A$2:$A$49,0),COLUMN(D274))</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INDEX(products!$A$1:$G$49,MATCH($D276,products!$A$1:$A$49,0),MATCH(I$1,products!$A$1:$G$1,0))</f>
        <v>Ara</v>
      </c>
      <c r="J276" t="str" cm="1">
        <f t="array" ref="J276">INDEX(products!$B$2:$E$49,MATCH($D276,products!$A$2:$A$49,0),COLUMN(B275))</f>
        <v>M</v>
      </c>
      <c r="K276" s="4" cm="1">
        <f t="array" ref="K276">INDEX(products!$B$2:$E$49,MATCH($D276,products!$A$2:$A$49,0),COLUMN(C275))</f>
        <v>2.5</v>
      </c>
      <c r="L276" s="5" cm="1">
        <f t="array" ref="L276">INDEX(products!$B$2:$E$49,MATCH($D276,products!$A$2:$A$49,0),COLUMN(D275))</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INDEX(products!$A$1:$G$49,MATCH($D277,products!$A$1:$A$49,0),MATCH(I$1,products!$A$1:$G$1,0))</f>
        <v>Exc</v>
      </c>
      <c r="J277" t="str" cm="1">
        <f t="array" ref="J277">INDEX(products!$B$2:$E$49,MATCH($D277,products!$A$2:$A$49,0),COLUMN(B276))</f>
        <v>L</v>
      </c>
      <c r="K277" s="4" cm="1">
        <f t="array" ref="K277">INDEX(products!$B$2:$E$49,MATCH($D277,products!$A$2:$A$49,0),COLUMN(C276))</f>
        <v>2.5</v>
      </c>
      <c r="L277" s="5" cm="1">
        <f t="array" ref="L277">INDEX(products!$B$2:$E$49,MATCH($D277,products!$A$2:$A$49,0),COLUMN(D276))</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f>
        <v>Dorelia Bury</v>
      </c>
      <c r="G278" s="2" t="str">
        <f>IF(_xlfn.XLOOKUP(C278,customers!$A$1:$A$1001,customers!$C$1:$C$1001,,0)=0,"",(_xlfn.XLOOKUP(C278,customers!$A$1:$A$1001,customers!$C$1:$C$1001,,0)))</f>
        <v>dbury7o@tinyurl.com</v>
      </c>
      <c r="H278" s="2" t="str">
        <f>_xlfn.XLOOKUP(C278,customers!$A$1:$A$1001,customers!$G$1:$G$1001,,0)</f>
        <v>Ireland</v>
      </c>
      <c r="I278" t="str">
        <f>INDEX(products!$A$1:$G$49,MATCH($D278,products!$A$1:$A$49,0),MATCH(I$1,products!$A$1:$G$1,0))</f>
        <v>Rob</v>
      </c>
      <c r="J278" t="str" cm="1">
        <f t="array" ref="J278">INDEX(products!$B$2:$E$49,MATCH($D278,products!$A$2:$A$49,0),COLUMN(B277))</f>
        <v>L</v>
      </c>
      <c r="K278" s="4" cm="1">
        <f t="array" ref="K278">INDEX(products!$B$2:$E$49,MATCH($D278,products!$A$2:$A$49,0),COLUMN(C277))</f>
        <v>2.5</v>
      </c>
      <c r="L278" s="5" cm="1">
        <f t="array" ref="L278">INDEX(products!$B$2:$E$49,MATCH($D278,products!$A$2:$A$49,0),COLUMN(D277))</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INDEX(products!$A$1:$G$49,MATCH($D279,products!$A$1:$A$49,0),MATCH(I$1,products!$A$1:$G$1,0))</f>
        <v>Exc</v>
      </c>
      <c r="J279" t="str" cm="1">
        <f t="array" ref="J279">INDEX(products!$B$2:$E$49,MATCH($D279,products!$A$2:$A$49,0),COLUMN(B278))</f>
        <v>L</v>
      </c>
      <c r="K279" s="4" cm="1">
        <f t="array" ref="K279">INDEX(products!$B$2:$E$49,MATCH($D279,products!$A$2:$A$49,0),COLUMN(C278))</f>
        <v>1</v>
      </c>
      <c r="L279" s="5" cm="1">
        <f t="array" ref="L279">INDEX(products!$B$2:$E$49,MATCH($D279,products!$A$2:$A$49,0),COLUMN(D278))</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INDEX(products!$A$1:$G$49,MATCH($D280,products!$A$1:$A$49,0),MATCH(I$1,products!$A$1:$G$1,0))</f>
        <v>Ara</v>
      </c>
      <c r="J280" t="str" cm="1">
        <f t="array" ref="J280">INDEX(products!$B$2:$E$49,MATCH($D280,products!$A$2:$A$49,0),COLUMN(B279))</f>
        <v>L</v>
      </c>
      <c r="K280" s="4" cm="1">
        <f t="array" ref="K280">INDEX(products!$B$2:$E$49,MATCH($D280,products!$A$2:$A$49,0),COLUMN(C279))</f>
        <v>0.2</v>
      </c>
      <c r="L280" s="5" cm="1">
        <f t="array" ref="L280">INDEX(products!$B$2:$E$49,MATCH($D280,products!$A$2:$A$49,0),COLUMN(D279))</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INDEX(products!$A$1:$G$49,MATCH($D281,products!$A$1:$A$49,0),MATCH(I$1,products!$A$1:$G$1,0))</f>
        <v>Lib</v>
      </c>
      <c r="J281" t="str" cm="1">
        <f t="array" ref="J281">INDEX(products!$B$2:$E$49,MATCH($D281,products!$A$2:$A$49,0),COLUMN(B280))</f>
        <v>M</v>
      </c>
      <c r="K281" s="4" cm="1">
        <f t="array" ref="K281">INDEX(products!$B$2:$E$49,MATCH($D281,products!$A$2:$A$49,0),COLUMN(C280))</f>
        <v>2.5</v>
      </c>
      <c r="L281" s="5" cm="1">
        <f t="array" ref="L281">INDEX(products!$B$2:$E$49,MATCH($D281,products!$A$2:$A$49,0),COLUMN(D280))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f>
        <v>Christopher Grieveson</v>
      </c>
      <c r="G282" s="2" t="str">
        <f>IF(_xlfn.XLOOKUP(C282,customers!$A$1:$A$1001,customers!$C$1:$C$1001,,0)=0,"",(_xlfn.XLOOKUP(C282,customers!$A$1:$A$1001,customers!$C$1:$C$1001,,0)))</f>
        <v/>
      </c>
      <c r="H282" s="2" t="str">
        <f>_xlfn.XLOOKUP(C282,customers!$A$1:$A$1001,customers!$G$1:$G$1001,,0)</f>
        <v>United States</v>
      </c>
      <c r="I282" t="str">
        <f>INDEX(products!$A$1:$G$49,MATCH($D282,products!$A$1:$A$49,0),MATCH(I$1,products!$A$1:$G$1,0))</f>
        <v>Exc</v>
      </c>
      <c r="J282" t="str" cm="1">
        <f t="array" ref="J282">INDEX(products!$B$2:$E$49,MATCH($D282,products!$A$2:$A$49,0),COLUMN(B281))</f>
        <v>M</v>
      </c>
      <c r="K282" s="4" cm="1">
        <f t="array" ref="K282">INDEX(products!$B$2:$E$49,MATCH($D282,products!$A$2:$A$49,0),COLUMN(C281))</f>
        <v>0.5</v>
      </c>
      <c r="L282" s="5" cm="1">
        <f t="array" ref="L282">INDEX(products!$B$2:$E$49,MATCH($D282,products!$A$2:$A$49,0),COLUMN(D281))</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INDEX(products!$A$1:$G$49,MATCH($D283,products!$A$1:$A$49,0),MATCH(I$1,products!$A$1:$G$1,0))</f>
        <v>Exc</v>
      </c>
      <c r="J283" t="str" cm="1">
        <f t="array" ref="J283">INDEX(products!$B$2:$E$49,MATCH($D283,products!$A$2:$A$49,0),COLUMN(B282))</f>
        <v>L</v>
      </c>
      <c r="K283" s="4" cm="1">
        <f t="array" ref="K283">INDEX(products!$B$2:$E$49,MATCH($D283,products!$A$2:$A$49,0),COLUMN(C282))</f>
        <v>1</v>
      </c>
      <c r="L283" s="5" cm="1">
        <f t="array" ref="L283">INDEX(products!$B$2:$E$49,MATCH($D283,products!$A$2:$A$49,0),COLUMN(D282))</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INDEX(products!$A$1:$G$49,MATCH($D284,products!$A$1:$A$49,0),MATCH(I$1,products!$A$1:$G$1,0))</f>
        <v>Ara</v>
      </c>
      <c r="J284" t="str" cm="1">
        <f t="array" ref="J284">INDEX(products!$B$2:$E$49,MATCH($D284,products!$A$2:$A$49,0),COLUMN(B283))</f>
        <v>L</v>
      </c>
      <c r="K284" s="4" cm="1">
        <f t="array" ref="K284">INDEX(products!$B$2:$E$49,MATCH($D284,products!$A$2:$A$49,0),COLUMN(C283))</f>
        <v>0.5</v>
      </c>
      <c r="L284" s="5" cm="1">
        <f t="array" ref="L284">INDEX(products!$B$2:$E$49,MATCH($D284,products!$A$2:$A$49,0),COLUMN(D283))</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INDEX(products!$A$1:$G$49,MATCH($D285,products!$A$1:$A$49,0),MATCH(I$1,products!$A$1:$G$1,0))</f>
        <v>Rob</v>
      </c>
      <c r="J285" t="str" cm="1">
        <f t="array" ref="J285">INDEX(products!$B$2:$E$49,MATCH($D285,products!$A$2:$A$49,0),COLUMN(B284))</f>
        <v>D</v>
      </c>
      <c r="K285" s="4" cm="1">
        <f t="array" ref="K285">INDEX(products!$B$2:$E$49,MATCH($D285,products!$A$2:$A$49,0),COLUMN(C284))</f>
        <v>0.5</v>
      </c>
      <c r="L285" s="5" cm="1">
        <f t="array" ref="L285">INDEX(products!$B$2:$E$49,MATCH($D285,products!$A$2:$A$49,0),COLUMN(D284))</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f>
        <v>Nanine McCarthy</v>
      </c>
      <c r="G286" s="2" t="str">
        <f>IF(_xlfn.XLOOKUP(C286,customers!$A$1:$A$1001,customers!$C$1:$C$1001,,0)=0,"",(_xlfn.XLOOKUP(C286,customers!$A$1:$A$1001,customers!$C$1:$C$1001,,0)))</f>
        <v/>
      </c>
      <c r="H286" s="2" t="str">
        <f>_xlfn.XLOOKUP(C286,customers!$A$1:$A$1001,customers!$G$1:$G$1001,,0)</f>
        <v>United States</v>
      </c>
      <c r="I286" t="str">
        <f>INDEX(products!$A$1:$G$49,MATCH($D286,products!$A$1:$A$49,0),MATCH(I$1,products!$A$1:$G$1,0))</f>
        <v>Exc</v>
      </c>
      <c r="J286" t="str" cm="1">
        <f t="array" ref="J286">INDEX(products!$B$2:$E$49,MATCH($D286,products!$A$2:$A$49,0),COLUMN(B285))</f>
        <v>M</v>
      </c>
      <c r="K286" s="4" cm="1">
        <f t="array" ref="K286">INDEX(products!$B$2:$E$49,MATCH($D286,products!$A$2:$A$49,0),COLUMN(C285))</f>
        <v>2.5</v>
      </c>
      <c r="L286" s="5" cm="1">
        <f t="array" ref="L286">INDEX(products!$B$2:$E$49,MATCH($D286,products!$A$2:$A$49,0),COLUMN(D285))</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f>
        <v>Lyndsey Megany</v>
      </c>
      <c r="G287" s="2" t="str">
        <f>IF(_xlfn.XLOOKUP(C287,customers!$A$1:$A$1001,customers!$C$1:$C$1001,,0)=0,"",(_xlfn.XLOOKUP(C287,customers!$A$1:$A$1001,customers!$C$1:$C$1001,,0)))</f>
        <v/>
      </c>
      <c r="H287" s="2" t="str">
        <f>_xlfn.XLOOKUP(C287,customers!$A$1:$A$1001,customers!$G$1:$G$1001,,0)</f>
        <v>United States</v>
      </c>
      <c r="I287" t="str">
        <f>INDEX(products!$A$1:$G$49,MATCH($D287,products!$A$1:$A$49,0),MATCH(I$1,products!$A$1:$G$1,0))</f>
        <v>Lib</v>
      </c>
      <c r="J287" t="str" cm="1">
        <f t="array" ref="J287">INDEX(products!$B$2:$E$49,MATCH($D287,products!$A$2:$A$49,0),COLUMN(B286))</f>
        <v>L</v>
      </c>
      <c r="K287" s="4" cm="1">
        <f t="array" ref="K287">INDEX(products!$B$2:$E$49,MATCH($D287,products!$A$2:$A$49,0),COLUMN(C286))</f>
        <v>2.5</v>
      </c>
      <c r="L287" s="5" cm="1">
        <f t="array" ref="L287">INDEX(products!$B$2:$E$49,MATCH($D287,products!$A$2:$A$49,0),COLUMN(D286))</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INDEX(products!$A$1:$G$49,MATCH($D288,products!$A$1:$A$49,0),MATCH(I$1,products!$A$1:$G$1,0))</f>
        <v>Ara</v>
      </c>
      <c r="J288" t="str" cm="1">
        <f t="array" ref="J288">INDEX(products!$B$2:$E$49,MATCH($D288,products!$A$2:$A$49,0),COLUMN(B287))</f>
        <v>M</v>
      </c>
      <c r="K288" s="4" cm="1">
        <f t="array" ref="K288">INDEX(products!$B$2:$E$49,MATCH($D288,products!$A$2:$A$49,0),COLUMN(C287))</f>
        <v>0.2</v>
      </c>
      <c r="L288" s="5" cm="1">
        <f t="array" ref="L288">INDEX(products!$B$2:$E$49,MATCH($D288,products!$A$2:$A$49,0),COLUMN(D287))</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INDEX(products!$A$1:$G$49,MATCH($D289,products!$A$1:$A$49,0),MATCH(I$1,products!$A$1:$G$1,0))</f>
        <v>Rob</v>
      </c>
      <c r="J289" t="str" cm="1">
        <f t="array" ref="J289">INDEX(products!$B$2:$E$49,MATCH($D289,products!$A$2:$A$49,0),COLUMN(B288))</f>
        <v>L</v>
      </c>
      <c r="K289" s="4" cm="1">
        <f t="array" ref="K289">INDEX(products!$B$2:$E$49,MATCH($D289,products!$A$2:$A$49,0),COLUMN(C288))</f>
        <v>0.2</v>
      </c>
      <c r="L289" s="5" cm="1">
        <f t="array" ref="L289">INDEX(products!$B$2:$E$49,MATCH($D289,products!$A$2:$A$49,0),COLUMN(D288))</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f>
        <v>Mathew Goulter</v>
      </c>
      <c r="G290" s="2" t="str">
        <f>IF(_xlfn.XLOOKUP(C290,customers!$A$1:$A$1001,customers!$C$1:$C$1001,,0)=0,"",(_xlfn.XLOOKUP(C290,customers!$A$1:$A$1001,customers!$C$1:$C$1001,,0)))</f>
        <v/>
      </c>
      <c r="H290" s="2" t="str">
        <f>_xlfn.XLOOKUP(C290,customers!$A$1:$A$1001,customers!$G$1:$G$1001,,0)</f>
        <v>Ireland</v>
      </c>
      <c r="I290" t="str">
        <f>INDEX(products!$A$1:$G$49,MATCH($D290,products!$A$1:$A$49,0),MATCH(I$1,products!$A$1:$G$1,0))</f>
        <v>Exc</v>
      </c>
      <c r="J290" t="str" cm="1">
        <f t="array" ref="J290">INDEX(products!$B$2:$E$49,MATCH($D290,products!$A$2:$A$49,0),COLUMN(B289))</f>
        <v>M</v>
      </c>
      <c r="K290" s="4" cm="1">
        <f t="array" ref="K290">INDEX(products!$B$2:$E$49,MATCH($D290,products!$A$2:$A$49,0),COLUMN(C289))</f>
        <v>0.5</v>
      </c>
      <c r="L290" s="5" cm="1">
        <f t="array" ref="L290">INDEX(products!$B$2:$E$49,MATCH($D290,products!$A$2:$A$49,0),COLUMN(D289))</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f>
        <v>Marris Grcic</v>
      </c>
      <c r="G291" s="2" t="str">
        <f>IF(_xlfn.XLOOKUP(C291,customers!$A$1:$A$1001,customers!$C$1:$C$1001,,0)=0,"",(_xlfn.XLOOKUP(C291,customers!$A$1:$A$1001,customers!$C$1:$C$1001,,0)))</f>
        <v/>
      </c>
      <c r="H291" s="2" t="str">
        <f>_xlfn.XLOOKUP(C291,customers!$A$1:$A$1001,customers!$G$1:$G$1001,,0)</f>
        <v>United States</v>
      </c>
      <c r="I291" t="str">
        <f>INDEX(products!$A$1:$G$49,MATCH($D291,products!$A$1:$A$49,0),MATCH(I$1,products!$A$1:$G$1,0))</f>
        <v>Rob</v>
      </c>
      <c r="J291" t="str" cm="1">
        <f t="array" ref="J291">INDEX(products!$B$2:$E$49,MATCH($D291,products!$A$2:$A$49,0),COLUMN(B290))</f>
        <v>D</v>
      </c>
      <c r="K291" s="4" cm="1">
        <f t="array" ref="K291">INDEX(products!$B$2:$E$49,MATCH($D291,products!$A$2:$A$49,0),COLUMN(C290))</f>
        <v>0.2</v>
      </c>
      <c r="L291" s="5" cm="1">
        <f t="array" ref="L291">INDEX(products!$B$2:$E$49,MATCH($D291,products!$A$2:$A$49,0),COLUMN(D290))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INDEX(products!$A$1:$G$49,MATCH($D292,products!$A$1:$A$49,0),MATCH(I$1,products!$A$1:$G$1,0))</f>
        <v>Ara</v>
      </c>
      <c r="J292" t="str" cm="1">
        <f t="array" ref="J292">INDEX(products!$B$2:$E$49,MATCH($D292,products!$A$2:$A$49,0),COLUMN(B291))</f>
        <v>D</v>
      </c>
      <c r="K292" s="4" cm="1">
        <f t="array" ref="K292">INDEX(products!$B$2:$E$49,MATCH($D292,products!$A$2:$A$49,0),COLUMN(C291))</f>
        <v>1</v>
      </c>
      <c r="L292" s="5" cm="1">
        <f t="array" ref="L292">INDEX(products!$B$2:$E$49,MATCH($D292,products!$A$2:$A$49,0),COLUMN(D291))</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f>
        <v>Violante Skouling</v>
      </c>
      <c r="G293" s="2" t="str">
        <f>IF(_xlfn.XLOOKUP(C293,customers!$A$1:$A$1001,customers!$C$1:$C$1001,,0)=0,"",(_xlfn.XLOOKUP(C293,customers!$A$1:$A$1001,customers!$C$1:$C$1001,,0)))</f>
        <v/>
      </c>
      <c r="H293" s="2" t="str">
        <f>_xlfn.XLOOKUP(C293,customers!$A$1:$A$1001,customers!$G$1:$G$1001,,0)</f>
        <v>Ireland</v>
      </c>
      <c r="I293" t="str">
        <f>INDEX(products!$A$1:$G$49,MATCH($D293,products!$A$1:$A$49,0),MATCH(I$1,products!$A$1:$G$1,0))</f>
        <v>Exc</v>
      </c>
      <c r="J293" t="str" cm="1">
        <f t="array" ref="J293">INDEX(products!$B$2:$E$49,MATCH($D293,products!$A$2:$A$49,0),COLUMN(B292))</f>
        <v>M</v>
      </c>
      <c r="K293" s="4" cm="1">
        <f t="array" ref="K293">INDEX(products!$B$2:$E$49,MATCH($D293,products!$A$2:$A$49,0),COLUMN(C292))</f>
        <v>0.5</v>
      </c>
      <c r="L293" s="5" cm="1">
        <f t="array" ref="L293">INDEX(products!$B$2:$E$49,MATCH($D293,products!$A$2:$A$49,0),COLUMN(D292))</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INDEX(products!$A$1:$G$49,MATCH($D294,products!$A$1:$A$49,0),MATCH(I$1,products!$A$1:$G$1,0))</f>
        <v>Ara</v>
      </c>
      <c r="J294" t="str" cm="1">
        <f t="array" ref="J294">INDEX(products!$B$2:$E$49,MATCH($D294,products!$A$2:$A$49,0),COLUMN(B293))</f>
        <v>D</v>
      </c>
      <c r="K294" s="4" cm="1">
        <f t="array" ref="K294">INDEX(products!$B$2:$E$49,MATCH($D294,products!$A$2:$A$49,0),COLUMN(C293))</f>
        <v>0.5</v>
      </c>
      <c r="L294" s="5" cm="1">
        <f t="array" ref="L294">INDEX(products!$B$2:$E$49,MATCH($D294,products!$A$2:$A$49,0),COLUMN(D293))</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INDEX(products!$A$1:$G$49,MATCH($D295,products!$A$1:$A$49,0),MATCH(I$1,products!$A$1:$G$1,0))</f>
        <v>Ara</v>
      </c>
      <c r="J295" t="str" cm="1">
        <f t="array" ref="J295">INDEX(products!$B$2:$E$49,MATCH($D295,products!$A$2:$A$49,0),COLUMN(B294))</f>
        <v>D</v>
      </c>
      <c r="K295" s="4" cm="1">
        <f t="array" ref="K295">INDEX(products!$B$2:$E$49,MATCH($D295,products!$A$2:$A$49,0),COLUMN(C294))</f>
        <v>0.5</v>
      </c>
      <c r="L295" s="5" cm="1">
        <f t="array" ref="L295">INDEX(products!$B$2:$E$49,MATCH($D295,products!$A$2:$A$49,0),COLUMN(D294))</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f>
        <v>Micki Fero</v>
      </c>
      <c r="G296" s="2" t="str">
        <f>IF(_xlfn.XLOOKUP(C296,customers!$A$1:$A$1001,customers!$C$1:$C$1001,,0)=0,"",(_xlfn.XLOOKUP(C296,customers!$A$1:$A$1001,customers!$C$1:$C$1001,,0)))</f>
        <v/>
      </c>
      <c r="H296" s="2" t="str">
        <f>_xlfn.XLOOKUP(C296,customers!$A$1:$A$1001,customers!$G$1:$G$1001,,0)</f>
        <v>United States</v>
      </c>
      <c r="I296" t="str">
        <f>INDEX(products!$A$1:$G$49,MATCH($D296,products!$A$1:$A$49,0),MATCH(I$1,products!$A$1:$G$1,0))</f>
        <v>Exc</v>
      </c>
      <c r="J296" t="str" cm="1">
        <f t="array" ref="J296">INDEX(products!$B$2:$E$49,MATCH($D296,products!$A$2:$A$49,0),COLUMN(B295))</f>
        <v>L</v>
      </c>
      <c r="K296" s="4" cm="1">
        <f t="array" ref="K296">INDEX(products!$B$2:$E$49,MATCH($D296,products!$A$2:$A$49,0),COLUMN(C295))</f>
        <v>1</v>
      </c>
      <c r="L296" s="5" cm="1">
        <f t="array" ref="L296">INDEX(products!$B$2:$E$49,MATCH($D296,products!$A$2:$A$49,0),COLUMN(D295))</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f>
        <v>Cybill Graddell</v>
      </c>
      <c r="G297" s="2" t="str">
        <f>IF(_xlfn.XLOOKUP(C297,customers!$A$1:$A$1001,customers!$C$1:$C$1001,,0)=0,"",(_xlfn.XLOOKUP(C297,customers!$A$1:$A$1001,customers!$C$1:$C$1001,,0)))</f>
        <v/>
      </c>
      <c r="H297" s="2" t="str">
        <f>_xlfn.XLOOKUP(C297,customers!$A$1:$A$1001,customers!$G$1:$G$1001,,0)</f>
        <v>United States</v>
      </c>
      <c r="I297" t="str">
        <f>INDEX(products!$A$1:$G$49,MATCH($D297,products!$A$1:$A$49,0),MATCH(I$1,products!$A$1:$G$1,0))</f>
        <v>Exc</v>
      </c>
      <c r="J297" t="str" cm="1">
        <f t="array" ref="J297">INDEX(products!$B$2:$E$49,MATCH($D297,products!$A$2:$A$49,0),COLUMN(B296))</f>
        <v>M</v>
      </c>
      <c r="K297" s="4" cm="1">
        <f t="array" ref="K297">INDEX(products!$B$2:$E$49,MATCH($D297,products!$A$2:$A$49,0),COLUMN(C296))</f>
        <v>1</v>
      </c>
      <c r="L297" s="5" cm="1">
        <f t="array" ref="L297">INDEX(products!$B$2:$E$49,MATCH($D297,products!$A$2:$A$49,0),COLUMN(D296))</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INDEX(products!$A$1:$G$49,MATCH($D298,products!$A$1:$A$49,0),MATCH(I$1,products!$A$1:$G$1,0))</f>
        <v>Rob</v>
      </c>
      <c r="J298" t="str" cm="1">
        <f t="array" ref="J298">INDEX(products!$B$2:$E$49,MATCH($D298,products!$A$2:$A$49,0),COLUMN(B297))</f>
        <v>M</v>
      </c>
      <c r="K298" s="4" cm="1">
        <f t="array" ref="K298">INDEX(products!$B$2:$E$49,MATCH($D298,products!$A$2:$A$49,0),COLUMN(C297))</f>
        <v>0.5</v>
      </c>
      <c r="L298" s="5" cm="1">
        <f t="array" ref="L298">INDEX(products!$B$2:$E$49,MATCH($D298,products!$A$2:$A$49,0),COLUMN(D297))</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INDEX(products!$A$1:$G$49,MATCH($D299,products!$A$1:$A$49,0),MATCH(I$1,products!$A$1:$G$1,0))</f>
        <v>Rob</v>
      </c>
      <c r="J299" t="str" cm="1">
        <f t="array" ref="J299">INDEX(products!$B$2:$E$49,MATCH($D299,products!$A$2:$A$49,0),COLUMN(B298))</f>
        <v>D</v>
      </c>
      <c r="K299" s="4" cm="1">
        <f t="array" ref="K299">INDEX(products!$B$2:$E$49,MATCH($D299,products!$A$2:$A$49,0),COLUMN(C298))</f>
        <v>0.5</v>
      </c>
      <c r="L299" s="5" cm="1">
        <f t="array" ref="L299">INDEX(products!$B$2:$E$49,MATCH($D299,products!$A$2:$A$49,0),COLUMN(D298))</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INDEX(products!$A$1:$G$49,MATCH($D300,products!$A$1:$A$49,0),MATCH(I$1,products!$A$1:$G$1,0))</f>
        <v>Exc</v>
      </c>
      <c r="J300" t="str" cm="1">
        <f t="array" ref="J300">INDEX(products!$B$2:$E$49,MATCH($D300,products!$A$2:$A$49,0),COLUMN(B299))</f>
        <v>L</v>
      </c>
      <c r="K300" s="4" cm="1">
        <f t="array" ref="K300">INDEX(products!$B$2:$E$49,MATCH($D300,products!$A$2:$A$49,0),COLUMN(C299))</f>
        <v>0.2</v>
      </c>
      <c r="L300" s="5" cm="1">
        <f t="array" ref="L300">INDEX(products!$B$2:$E$49,MATCH($D300,products!$A$2:$A$49,0),COLUMN(D299))</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INDEX(products!$A$1:$G$49,MATCH($D301,products!$A$1:$A$49,0),MATCH(I$1,products!$A$1:$G$1,0))</f>
        <v>Exc</v>
      </c>
      <c r="J301" t="str" cm="1">
        <f t="array" ref="J301">INDEX(products!$B$2:$E$49,MATCH($D301,products!$A$2:$A$49,0),COLUMN(B300))</f>
        <v>L</v>
      </c>
      <c r="K301" s="4" cm="1">
        <f t="array" ref="K301">INDEX(products!$B$2:$E$49,MATCH($D301,products!$A$2:$A$49,0),COLUMN(C300))</f>
        <v>2.5</v>
      </c>
      <c r="L301" s="5" cm="1">
        <f t="array" ref="L301">INDEX(products!$B$2:$E$49,MATCH($D301,products!$A$2:$A$49,0),COLUMN(D300))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INDEX(products!$A$1:$G$49,MATCH($D302,products!$A$1:$A$49,0),MATCH(I$1,products!$A$1:$G$1,0))</f>
        <v>Ara</v>
      </c>
      <c r="J302" t="str" cm="1">
        <f t="array" ref="J302">INDEX(products!$B$2:$E$49,MATCH($D302,products!$A$2:$A$49,0),COLUMN(B301))</f>
        <v>L</v>
      </c>
      <c r="K302" s="4" cm="1">
        <f t="array" ref="K302">INDEX(products!$B$2:$E$49,MATCH($D302,products!$A$2:$A$49,0),COLUMN(C301))</f>
        <v>1</v>
      </c>
      <c r="L302" s="5" cm="1">
        <f t="array" ref="L302">INDEX(products!$B$2:$E$49,MATCH($D302,products!$A$2:$A$49,0),COLUMN(D301))</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INDEX(products!$A$1:$G$49,MATCH($D303,products!$A$1:$A$49,0),MATCH(I$1,products!$A$1:$G$1,0))</f>
        <v>Lib</v>
      </c>
      <c r="J303" t="str" cm="1">
        <f t="array" ref="J303">INDEX(products!$B$2:$E$49,MATCH($D303,products!$A$2:$A$49,0),COLUMN(B302))</f>
        <v>D</v>
      </c>
      <c r="K303" s="4" cm="1">
        <f t="array" ref="K303">INDEX(products!$B$2:$E$49,MATCH($D303,products!$A$2:$A$49,0),COLUMN(C302))</f>
        <v>0.2</v>
      </c>
      <c r="L303" s="5" cm="1">
        <f t="array" ref="L303">INDEX(products!$B$2:$E$49,MATCH($D303,products!$A$2:$A$49,0),COLUMN(D302))</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INDEX(products!$A$1:$G$49,MATCH($D304,products!$A$1:$A$49,0),MATCH(I$1,products!$A$1:$G$1,0))</f>
        <v>Ara</v>
      </c>
      <c r="J304" t="str" cm="1">
        <f t="array" ref="J304">INDEX(products!$B$2:$E$49,MATCH($D304,products!$A$2:$A$49,0),COLUMN(B303))</f>
        <v>M</v>
      </c>
      <c r="K304" s="4" cm="1">
        <f t="array" ref="K304">INDEX(products!$B$2:$E$49,MATCH($D304,products!$A$2:$A$49,0),COLUMN(C303))</f>
        <v>0.5</v>
      </c>
      <c r="L304" s="5" cm="1">
        <f t="array" ref="L304">INDEX(products!$B$2:$E$49,MATCH($D304,products!$A$2:$A$49,0),COLUMN(D303))</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INDEX(products!$A$1:$G$49,MATCH($D305,products!$A$1:$A$49,0),MATCH(I$1,products!$A$1:$G$1,0))</f>
        <v>Exc</v>
      </c>
      <c r="J305" t="str" cm="1">
        <f t="array" ref="J305">INDEX(products!$B$2:$E$49,MATCH($D305,products!$A$2:$A$49,0),COLUMN(B304))</f>
        <v>D</v>
      </c>
      <c r="K305" s="4" cm="1">
        <f t="array" ref="K305">INDEX(products!$B$2:$E$49,MATCH($D305,products!$A$2:$A$49,0),COLUMN(C304))</f>
        <v>2.5</v>
      </c>
      <c r="L305" s="5" cm="1">
        <f t="array" ref="L305">INDEX(products!$B$2:$E$49,MATCH($D305,products!$A$2:$A$49,0),COLUMN(D304))</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INDEX(products!$A$1:$G$49,MATCH($D306,products!$A$1:$A$49,0),MATCH(I$1,products!$A$1:$G$1,0))</f>
        <v>Ara</v>
      </c>
      <c r="J306" t="str" cm="1">
        <f t="array" ref="J306">INDEX(products!$B$2:$E$49,MATCH($D306,products!$A$2:$A$49,0),COLUMN(B305))</f>
        <v>L</v>
      </c>
      <c r="K306" s="4" cm="1">
        <f t="array" ref="K306">INDEX(products!$B$2:$E$49,MATCH($D306,products!$A$2:$A$49,0),COLUMN(C305))</f>
        <v>0.2</v>
      </c>
      <c r="L306" s="5" cm="1">
        <f t="array" ref="L306">INDEX(products!$B$2:$E$49,MATCH($D306,products!$A$2:$A$49,0),COLUMN(D305))</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INDEX(products!$A$1:$G$49,MATCH($D307,products!$A$1:$A$49,0),MATCH(I$1,products!$A$1:$G$1,0))</f>
        <v>Lib</v>
      </c>
      <c r="J307" t="str" cm="1">
        <f t="array" ref="J307">INDEX(products!$B$2:$E$49,MATCH($D307,products!$A$2:$A$49,0),COLUMN(B306))</f>
        <v>M</v>
      </c>
      <c r="K307" s="4" cm="1">
        <f t="array" ref="K307">INDEX(products!$B$2:$E$49,MATCH($D307,products!$A$2:$A$49,0),COLUMN(C306))</f>
        <v>0.2</v>
      </c>
      <c r="L307" s="5" cm="1">
        <f t="array" ref="L307">INDEX(products!$B$2:$E$49,MATCH($D307,products!$A$2:$A$49,0),COLUMN(D306))</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INDEX(products!$A$1:$G$49,MATCH($D308,products!$A$1:$A$49,0),MATCH(I$1,products!$A$1:$G$1,0))</f>
        <v>Rob</v>
      </c>
      <c r="J308" t="str" cm="1">
        <f t="array" ref="J308">INDEX(products!$B$2:$E$49,MATCH($D308,products!$A$2:$A$49,0),COLUMN(B307))</f>
        <v>M</v>
      </c>
      <c r="K308" s="4" cm="1">
        <f t="array" ref="K308">INDEX(products!$B$2:$E$49,MATCH($D308,products!$A$2:$A$49,0),COLUMN(C307))</f>
        <v>0.2</v>
      </c>
      <c r="L308" s="5" cm="1">
        <f t="array" ref="L308">INDEX(products!$B$2:$E$49,MATCH($D308,products!$A$2:$A$49,0),COLUMN(D307))</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INDEX(products!$A$1:$G$49,MATCH($D309,products!$A$1:$A$49,0),MATCH(I$1,products!$A$1:$G$1,0))</f>
        <v>Ara</v>
      </c>
      <c r="J309" t="str" cm="1">
        <f t="array" ref="J309">INDEX(products!$B$2:$E$49,MATCH($D309,products!$A$2:$A$49,0),COLUMN(B308))</f>
        <v>M</v>
      </c>
      <c r="K309" s="4" cm="1">
        <f t="array" ref="K309">INDEX(products!$B$2:$E$49,MATCH($D309,products!$A$2:$A$49,0),COLUMN(C308))</f>
        <v>1</v>
      </c>
      <c r="L309" s="5" cm="1">
        <f t="array" ref="L309">INDEX(products!$B$2:$E$49,MATCH($D309,products!$A$2:$A$49,0),COLUMN(D308))</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INDEX(products!$A$1:$G$49,MATCH($D310,products!$A$1:$A$49,0),MATCH(I$1,products!$A$1:$G$1,0))</f>
        <v>Ara</v>
      </c>
      <c r="J310" t="str" cm="1">
        <f t="array" ref="J310">INDEX(products!$B$2:$E$49,MATCH($D310,products!$A$2:$A$49,0),COLUMN(B309))</f>
        <v>M</v>
      </c>
      <c r="K310" s="4" cm="1">
        <f t="array" ref="K310">INDEX(products!$B$2:$E$49,MATCH($D310,products!$A$2:$A$49,0),COLUMN(C309))</f>
        <v>1</v>
      </c>
      <c r="L310" s="5" cm="1">
        <f t="array" ref="L310">INDEX(products!$B$2:$E$49,MATCH($D310,products!$A$2:$A$49,0),COLUMN(D309))</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INDEX(products!$A$1:$G$49,MATCH($D311,products!$A$1:$A$49,0),MATCH(I$1,products!$A$1:$G$1,0))</f>
        <v>Lib</v>
      </c>
      <c r="J311" t="str" cm="1">
        <f t="array" ref="J311">INDEX(products!$B$2:$E$49,MATCH($D311,products!$A$2:$A$49,0),COLUMN(B310))</f>
        <v>M</v>
      </c>
      <c r="K311" s="4" cm="1">
        <f t="array" ref="K311">INDEX(products!$B$2:$E$49,MATCH($D311,products!$A$2:$A$49,0),COLUMN(C310))</f>
        <v>0.2</v>
      </c>
      <c r="L311" s="5" cm="1">
        <f t="array" ref="L311">INDEX(products!$B$2:$E$49,MATCH($D311,products!$A$2:$A$49,0),COLUMN(D310))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INDEX(products!$A$1:$G$49,MATCH($D312,products!$A$1:$A$49,0),MATCH(I$1,products!$A$1:$G$1,0))</f>
        <v>Exc</v>
      </c>
      <c r="J312" t="str" cm="1">
        <f t="array" ref="J312">INDEX(products!$B$2:$E$49,MATCH($D312,products!$A$2:$A$49,0),COLUMN(B311))</f>
        <v>L</v>
      </c>
      <c r="K312" s="4" cm="1">
        <f t="array" ref="K312">INDEX(products!$B$2:$E$49,MATCH($D312,products!$A$2:$A$49,0),COLUMN(C311))</f>
        <v>1</v>
      </c>
      <c r="L312" s="5" cm="1">
        <f t="array" ref="L312">INDEX(products!$B$2:$E$49,MATCH($D312,products!$A$2:$A$49,0),COLUMN(D311))</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INDEX(products!$A$1:$G$49,MATCH($D313,products!$A$1:$A$49,0),MATCH(I$1,products!$A$1:$G$1,0))</f>
        <v>Exc</v>
      </c>
      <c r="J313" t="str" cm="1">
        <f t="array" ref="J313">INDEX(products!$B$2:$E$49,MATCH($D313,products!$A$2:$A$49,0),COLUMN(B312))</f>
        <v>M</v>
      </c>
      <c r="K313" s="4" cm="1">
        <f t="array" ref="K313">INDEX(products!$B$2:$E$49,MATCH($D313,products!$A$2:$A$49,0),COLUMN(C312))</f>
        <v>2.5</v>
      </c>
      <c r="L313" s="5" cm="1">
        <f t="array" ref="L313">INDEX(products!$B$2:$E$49,MATCH($D313,products!$A$2:$A$49,0),COLUMN(D312))</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INDEX(products!$A$1:$G$49,MATCH($D314,products!$A$1:$A$49,0),MATCH(I$1,products!$A$1:$G$1,0))</f>
        <v>Rob</v>
      </c>
      <c r="J314" t="str" cm="1">
        <f t="array" ref="J314">INDEX(products!$B$2:$E$49,MATCH($D314,products!$A$2:$A$49,0),COLUMN(B313))</f>
        <v>M</v>
      </c>
      <c r="K314" s="4" cm="1">
        <f t="array" ref="K314">INDEX(products!$B$2:$E$49,MATCH($D314,products!$A$2:$A$49,0),COLUMN(C313))</f>
        <v>0.5</v>
      </c>
      <c r="L314" s="5" cm="1">
        <f t="array" ref="L314">INDEX(products!$B$2:$E$49,MATCH($D314,products!$A$2:$A$49,0),COLUMN(D313))</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INDEX(products!$A$1:$G$49,MATCH($D315,products!$A$1:$A$49,0),MATCH(I$1,products!$A$1:$G$1,0))</f>
        <v>Rob</v>
      </c>
      <c r="J315" t="str" cm="1">
        <f t="array" ref="J315">INDEX(products!$B$2:$E$49,MATCH($D315,products!$A$2:$A$49,0),COLUMN(B314))</f>
        <v>M</v>
      </c>
      <c r="K315" s="4" cm="1">
        <f t="array" ref="K315">INDEX(products!$B$2:$E$49,MATCH($D315,products!$A$2:$A$49,0),COLUMN(C314))</f>
        <v>1</v>
      </c>
      <c r="L315" s="5" cm="1">
        <f t="array" ref="L315">INDEX(products!$B$2:$E$49,MATCH($D315,products!$A$2:$A$49,0),COLUMN(D314))</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f>
        <v>Stacy Pickworth</v>
      </c>
      <c r="G316" s="2" t="str">
        <f>IF(_xlfn.XLOOKUP(C316,customers!$A$1:$A$1001,customers!$C$1:$C$1001,,0)=0,"",(_xlfn.XLOOKUP(C316,customers!$A$1:$A$1001,customers!$C$1:$C$1001,,0)))</f>
        <v/>
      </c>
      <c r="H316" s="2" t="str">
        <f>_xlfn.XLOOKUP(C316,customers!$A$1:$A$1001,customers!$G$1:$G$1001,,0)</f>
        <v>United States</v>
      </c>
      <c r="I316" t="str">
        <f>INDEX(products!$A$1:$G$49,MATCH($D316,products!$A$1:$A$49,0),MATCH(I$1,products!$A$1:$G$1,0))</f>
        <v>Rob</v>
      </c>
      <c r="J316" t="str" cm="1">
        <f t="array" ref="J316">INDEX(products!$B$2:$E$49,MATCH($D316,products!$A$2:$A$49,0),COLUMN(B315))</f>
        <v>D</v>
      </c>
      <c r="K316" s="4" cm="1">
        <f t="array" ref="K316">INDEX(products!$B$2:$E$49,MATCH($D316,products!$A$2:$A$49,0),COLUMN(C315))</f>
        <v>1</v>
      </c>
      <c r="L316" s="5" cm="1">
        <f t="array" ref="L316">INDEX(products!$B$2:$E$49,MATCH($D316,products!$A$2:$A$49,0),COLUMN(D315))</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INDEX(products!$A$1:$G$49,MATCH($D317,products!$A$1:$A$49,0),MATCH(I$1,products!$A$1:$G$1,0))</f>
        <v>Exc</v>
      </c>
      <c r="J317" t="str" cm="1">
        <f t="array" ref="J317">INDEX(products!$B$2:$E$49,MATCH($D317,products!$A$2:$A$49,0),COLUMN(B316))</f>
        <v>L</v>
      </c>
      <c r="K317" s="4" cm="1">
        <f t="array" ref="K317">INDEX(products!$B$2:$E$49,MATCH($D317,products!$A$2:$A$49,0),COLUMN(C316))</f>
        <v>2.5</v>
      </c>
      <c r="L317" s="5" cm="1">
        <f t="array" ref="L317">INDEX(products!$B$2:$E$49,MATCH($D317,products!$A$2:$A$49,0),COLUMN(D316))</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f>
        <v>Nanny Lush</v>
      </c>
      <c r="G318" s="2" t="str">
        <f>IF(_xlfn.XLOOKUP(C318,customers!$A$1:$A$1001,customers!$C$1:$C$1001,,0)=0,"",(_xlfn.XLOOKUP(C318,customers!$A$1:$A$1001,customers!$C$1:$C$1001,,0)))</f>
        <v>nlush8s@dedecms.com</v>
      </c>
      <c r="H318" s="2" t="str">
        <f>_xlfn.XLOOKUP(C318,customers!$A$1:$A$1001,customers!$G$1:$G$1001,,0)</f>
        <v>Ireland</v>
      </c>
      <c r="I318" t="str">
        <f>INDEX(products!$A$1:$G$49,MATCH($D318,products!$A$1:$A$49,0),MATCH(I$1,products!$A$1:$G$1,0))</f>
        <v>Exc</v>
      </c>
      <c r="J318" t="str" cm="1">
        <f t="array" ref="J318">INDEX(products!$B$2:$E$49,MATCH($D318,products!$A$2:$A$49,0),COLUMN(B317))</f>
        <v>L</v>
      </c>
      <c r="K318" s="4" cm="1">
        <f t="array" ref="K318">INDEX(products!$B$2:$E$49,MATCH($D318,products!$A$2:$A$49,0),COLUMN(C317))</f>
        <v>2.5</v>
      </c>
      <c r="L318" s="5" cm="1">
        <f t="array" ref="L318">INDEX(products!$B$2:$E$49,MATCH($D318,products!$A$2:$A$49,0),COLUMN(D317))</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INDEX(products!$A$1:$G$49,MATCH($D319,products!$A$1:$A$49,0),MATCH(I$1,products!$A$1:$G$1,0))</f>
        <v>Exc</v>
      </c>
      <c r="J319" t="str" cm="1">
        <f t="array" ref="J319">INDEX(products!$B$2:$E$49,MATCH($D319,products!$A$2:$A$49,0),COLUMN(B318))</f>
        <v>D</v>
      </c>
      <c r="K319" s="4" cm="1">
        <f t="array" ref="K319">INDEX(products!$B$2:$E$49,MATCH($D319,products!$A$2:$A$49,0),COLUMN(C318))</f>
        <v>0.5</v>
      </c>
      <c r="L319" s="5" cm="1">
        <f t="array" ref="L319">INDEX(products!$B$2:$E$49,MATCH($D319,products!$A$2:$A$49,0),COLUMN(D318))</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INDEX(products!$A$1:$G$49,MATCH($D320,products!$A$1:$A$49,0),MATCH(I$1,products!$A$1:$G$1,0))</f>
        <v>Ara</v>
      </c>
      <c r="J320" t="str" cm="1">
        <f t="array" ref="J320">INDEX(products!$B$2:$E$49,MATCH($D320,products!$A$2:$A$49,0),COLUMN(B319))</f>
        <v>M</v>
      </c>
      <c r="K320" s="4" cm="1">
        <f t="array" ref="K320">INDEX(products!$B$2:$E$49,MATCH($D320,products!$A$2:$A$49,0),COLUMN(C319))</f>
        <v>2.5</v>
      </c>
      <c r="L320" s="5" cm="1">
        <f t="array" ref="L320">INDEX(products!$B$2:$E$49,MATCH($D320,products!$A$2:$A$49,0),COLUMN(D319))</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INDEX(products!$A$1:$G$49,MATCH($D321,products!$A$1:$A$49,0),MATCH(I$1,products!$A$1:$G$1,0))</f>
        <v>Exc</v>
      </c>
      <c r="J321" t="str" cm="1">
        <f t="array" ref="J321">INDEX(products!$B$2:$E$49,MATCH($D321,products!$A$2:$A$49,0),COLUMN(B320))</f>
        <v>M</v>
      </c>
      <c r="K321" s="4" cm="1">
        <f t="array" ref="K321">INDEX(products!$B$2:$E$49,MATCH($D321,products!$A$2:$A$49,0),COLUMN(C320))</f>
        <v>0.2</v>
      </c>
      <c r="L321" s="5" cm="1">
        <f t="array" ref="L321">INDEX(products!$B$2:$E$49,MATCH($D321,products!$A$2:$A$49,0),COLUMN(D320))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INDEX(products!$A$1:$G$49,MATCH($D322,products!$A$1:$A$49,0),MATCH(I$1,products!$A$1:$G$1,0))</f>
        <v>Ara</v>
      </c>
      <c r="J322" t="str" cm="1">
        <f t="array" ref="J322">INDEX(products!$B$2:$E$49,MATCH($D322,products!$A$2:$A$49,0),COLUMN(B321))</f>
        <v>L</v>
      </c>
      <c r="K322" s="4" cm="1">
        <f t="array" ref="K322">INDEX(products!$B$2:$E$49,MATCH($D322,products!$A$2:$A$49,0),COLUMN(C321))</f>
        <v>0.2</v>
      </c>
      <c r="L322" s="5" cm="1">
        <f t="array" ref="L322">INDEX(products!$B$2:$E$49,MATCH($D322,products!$A$2:$A$49,0),COLUMN(D321))</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f>
        <v>Gaile Goggin</v>
      </c>
      <c r="G323" s="2" t="str">
        <f>IF(_xlfn.XLOOKUP(C323,customers!$A$1:$A$1001,customers!$C$1:$C$1001,,0)=0,"",(_xlfn.XLOOKUP(C323,customers!$A$1:$A$1001,customers!$C$1:$C$1001,,0)))</f>
        <v>ggoggin8x@wix.com</v>
      </c>
      <c r="H323" s="2" t="str">
        <f>_xlfn.XLOOKUP(C323,customers!$A$1:$A$1001,customers!$G$1:$G$1001,,0)</f>
        <v>Ireland</v>
      </c>
      <c r="I323" t="str">
        <f>INDEX(products!$A$1:$G$49,MATCH($D323,products!$A$1:$A$49,0),MATCH(I$1,products!$A$1:$G$1,0))</f>
        <v>Ara</v>
      </c>
      <c r="J323" t="str" cm="1">
        <f t="array" ref="J323">INDEX(products!$B$2:$E$49,MATCH($D323,products!$A$2:$A$49,0),COLUMN(B322))</f>
        <v>M</v>
      </c>
      <c r="K323" s="4" cm="1">
        <f t="array" ref="K323">INDEX(products!$B$2:$E$49,MATCH($D323,products!$A$2:$A$49,0),COLUMN(C322))</f>
        <v>0.2</v>
      </c>
      <c r="L323" s="5" cm="1">
        <f t="array" ref="L323">INDEX(products!$B$2:$E$49,MATCH($D323,products!$A$2:$A$49,0),COLUMN(D322))</f>
        <v>3.375</v>
      </c>
      <c r="M323" s="5">
        <f t="shared" ref="M323:M386" si="15">E323*L323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INDEX(products!$A$1:$G$49,MATCH($D324,products!$A$1:$A$49,0),MATCH(I$1,products!$A$1:$G$1,0))</f>
        <v>Lib</v>
      </c>
      <c r="J324" t="str" cm="1">
        <f t="array" ref="J324">INDEX(products!$B$2:$E$49,MATCH($D324,products!$A$2:$A$49,0),COLUMN(B323))</f>
        <v>D</v>
      </c>
      <c r="K324" s="4" cm="1">
        <f t="array" ref="K324">INDEX(products!$B$2:$E$49,MATCH($D324,products!$A$2:$A$49,0),COLUMN(C323))</f>
        <v>0.5</v>
      </c>
      <c r="L324" s="5" cm="1">
        <f t="array" ref="L324">INDEX(products!$B$2:$E$49,MATCH($D324,products!$A$2:$A$49,0),COLUMN(D323))</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INDEX(products!$A$1:$G$49,MATCH($D325,products!$A$1:$A$49,0),MATCH(I$1,products!$A$1:$G$1,0))</f>
        <v>Exc</v>
      </c>
      <c r="J325" t="str" cm="1">
        <f t="array" ref="J325">INDEX(products!$B$2:$E$49,MATCH($D325,products!$A$2:$A$49,0),COLUMN(B324))</f>
        <v>D</v>
      </c>
      <c r="K325" s="4" cm="1">
        <f t="array" ref="K325">INDEX(products!$B$2:$E$49,MATCH($D325,products!$A$2:$A$49,0),COLUMN(C324))</f>
        <v>0.2</v>
      </c>
      <c r="L325" s="5" cm="1">
        <f t="array" ref="L325">INDEX(products!$B$2:$E$49,MATCH($D325,products!$A$2:$A$49,0),COLUMN(D324))</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f>
        <v>Diena Peetermann</v>
      </c>
      <c r="G326" s="2" t="str">
        <f>IF(_xlfn.XLOOKUP(C326,customers!$A$1:$A$1001,customers!$C$1:$C$1001,,0)=0,"",(_xlfn.XLOOKUP(C326,customers!$A$1:$A$1001,customers!$C$1:$C$1001,,0)))</f>
        <v/>
      </c>
      <c r="H326" s="2" t="str">
        <f>_xlfn.XLOOKUP(C326,customers!$A$1:$A$1001,customers!$G$1:$G$1001,,0)</f>
        <v>United States</v>
      </c>
      <c r="I326" t="str">
        <f>INDEX(products!$A$1:$G$49,MATCH($D326,products!$A$1:$A$49,0),MATCH(I$1,products!$A$1:$G$1,0))</f>
        <v>Exc</v>
      </c>
      <c r="J326" t="str" cm="1">
        <f t="array" ref="J326">INDEX(products!$B$2:$E$49,MATCH($D326,products!$A$2:$A$49,0),COLUMN(B325))</f>
        <v>M</v>
      </c>
      <c r="K326" s="4" cm="1">
        <f t="array" ref="K326">INDEX(products!$B$2:$E$49,MATCH($D326,products!$A$2:$A$49,0),COLUMN(C325))</f>
        <v>1</v>
      </c>
      <c r="L326" s="5" cm="1">
        <f t="array" ref="L326">INDEX(products!$B$2:$E$49,MATCH($D326,products!$A$2:$A$49,0),COLUMN(D325))</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f>
        <v>Trina Le Sarr</v>
      </c>
      <c r="G327" s="2" t="str">
        <f>IF(_xlfn.XLOOKUP(C327,customers!$A$1:$A$1001,customers!$C$1:$C$1001,,0)=0,"",(_xlfn.XLOOKUP(C327,customers!$A$1:$A$1001,customers!$C$1:$C$1001,,0)))</f>
        <v>tle91@epa.gov</v>
      </c>
      <c r="H327" s="2" t="str">
        <f>_xlfn.XLOOKUP(C327,customers!$A$1:$A$1001,customers!$G$1:$G$1001,,0)</f>
        <v>United States</v>
      </c>
      <c r="I327" t="str">
        <f>INDEX(products!$A$1:$G$49,MATCH($D327,products!$A$1:$A$49,0),MATCH(I$1,products!$A$1:$G$1,0))</f>
        <v>Ara</v>
      </c>
      <c r="J327" t="str" cm="1">
        <f t="array" ref="J327">INDEX(products!$B$2:$E$49,MATCH($D327,products!$A$2:$A$49,0),COLUMN(B326))</f>
        <v>L</v>
      </c>
      <c r="K327" s="4" cm="1">
        <f t="array" ref="K327">INDEX(products!$B$2:$E$49,MATCH($D327,products!$A$2:$A$49,0),COLUMN(C326))</f>
        <v>2.5</v>
      </c>
      <c r="L327" s="5" cm="1">
        <f t="array" ref="L327">INDEX(products!$B$2:$E$49,MATCH($D327,products!$A$2:$A$49,0),COLUMN(D326))</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f>
        <v>Flynn Antony</v>
      </c>
      <c r="G328" s="2" t="str">
        <f>IF(_xlfn.XLOOKUP(C328,customers!$A$1:$A$1001,customers!$C$1:$C$1001,,0)=0,"",(_xlfn.XLOOKUP(C328,customers!$A$1:$A$1001,customers!$C$1:$C$1001,,0)))</f>
        <v/>
      </c>
      <c r="H328" s="2" t="str">
        <f>_xlfn.XLOOKUP(C328,customers!$A$1:$A$1001,customers!$G$1:$G$1001,,0)</f>
        <v>United States</v>
      </c>
      <c r="I328" t="str">
        <f>INDEX(products!$A$1:$G$49,MATCH($D328,products!$A$1:$A$49,0),MATCH(I$1,products!$A$1:$G$1,0))</f>
        <v>Rob</v>
      </c>
      <c r="J328" t="str" cm="1">
        <f t="array" ref="J328">INDEX(products!$B$2:$E$49,MATCH($D328,products!$A$2:$A$49,0),COLUMN(B327))</f>
        <v>D</v>
      </c>
      <c r="K328" s="4" cm="1">
        <f t="array" ref="K328">INDEX(products!$B$2:$E$49,MATCH($D328,products!$A$2:$A$49,0),COLUMN(C327))</f>
        <v>1</v>
      </c>
      <c r="L328" s="5" cm="1">
        <f t="array" ref="L328">INDEX(products!$B$2:$E$49,MATCH($D328,products!$A$2:$A$49,0),COLUMN(D327))</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INDEX(products!$A$1:$G$49,MATCH($D329,products!$A$1:$A$49,0),MATCH(I$1,products!$A$1:$G$1,0))</f>
        <v>Rob</v>
      </c>
      <c r="J329" t="str" cm="1">
        <f t="array" ref="J329">INDEX(products!$B$2:$E$49,MATCH($D329,products!$A$2:$A$49,0),COLUMN(B328))</f>
        <v>D</v>
      </c>
      <c r="K329" s="4" cm="1">
        <f t="array" ref="K329">INDEX(products!$B$2:$E$49,MATCH($D329,products!$A$2:$A$49,0),COLUMN(C328))</f>
        <v>1</v>
      </c>
      <c r="L329" s="5" cm="1">
        <f t="array" ref="L329">INDEX(products!$B$2:$E$49,MATCH($D329,products!$A$2:$A$49,0),COLUMN(D328))</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f>
        <v>Homer Dulany</v>
      </c>
      <c r="G330" s="2" t="str">
        <f>IF(_xlfn.XLOOKUP(C330,customers!$A$1:$A$1001,customers!$C$1:$C$1001,,0)=0,"",(_xlfn.XLOOKUP(C330,customers!$A$1:$A$1001,customers!$C$1:$C$1001,,0)))</f>
        <v/>
      </c>
      <c r="H330" s="2" t="str">
        <f>_xlfn.XLOOKUP(C330,customers!$A$1:$A$1001,customers!$G$1:$G$1001,,0)</f>
        <v>United States</v>
      </c>
      <c r="I330" t="str">
        <f>INDEX(products!$A$1:$G$49,MATCH($D330,products!$A$1:$A$49,0),MATCH(I$1,products!$A$1:$G$1,0))</f>
        <v>Lib</v>
      </c>
      <c r="J330" t="str" cm="1">
        <f t="array" ref="J330">INDEX(products!$B$2:$E$49,MATCH($D330,products!$A$2:$A$49,0),COLUMN(B329))</f>
        <v>L</v>
      </c>
      <c r="K330" s="4" cm="1">
        <f t="array" ref="K330">INDEX(products!$B$2:$E$49,MATCH($D330,products!$A$2:$A$49,0),COLUMN(C329))</f>
        <v>0.5</v>
      </c>
      <c r="L330" s="5" cm="1">
        <f t="array" ref="L330">INDEX(products!$B$2:$E$49,MATCH($D330,products!$A$2:$A$49,0),COLUMN(D329))</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INDEX(products!$A$1:$G$49,MATCH($D331,products!$A$1:$A$49,0),MATCH(I$1,products!$A$1:$G$1,0))</f>
        <v>Rob</v>
      </c>
      <c r="J331" t="str" cm="1">
        <f t="array" ref="J331">INDEX(products!$B$2:$E$49,MATCH($D331,products!$A$2:$A$49,0),COLUMN(B330))</f>
        <v>D</v>
      </c>
      <c r="K331" s="4" cm="1">
        <f t="array" ref="K331">INDEX(products!$B$2:$E$49,MATCH($D331,products!$A$2:$A$49,0),COLUMN(C330))</f>
        <v>0.5</v>
      </c>
      <c r="L331" s="5" cm="1">
        <f t="array" ref="L331">INDEX(products!$B$2:$E$49,MATCH($D331,products!$A$2:$A$49,0),COLUMN(D330))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INDEX(products!$A$1:$G$49,MATCH($D332,products!$A$1:$A$49,0),MATCH(I$1,products!$A$1:$G$1,0))</f>
        <v>Rob</v>
      </c>
      <c r="J332" t="str" cm="1">
        <f t="array" ref="J332">INDEX(products!$B$2:$E$49,MATCH($D332,products!$A$2:$A$49,0),COLUMN(B331))</f>
        <v>D</v>
      </c>
      <c r="K332" s="4" cm="1">
        <f t="array" ref="K332">INDEX(products!$B$2:$E$49,MATCH($D332,products!$A$2:$A$49,0),COLUMN(C331))</f>
        <v>0.5</v>
      </c>
      <c r="L332" s="5" cm="1">
        <f t="array" ref="L332">INDEX(products!$B$2:$E$49,MATCH($D332,products!$A$2:$A$49,0),COLUMN(D331))</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INDEX(products!$A$1:$G$49,MATCH($D333,products!$A$1:$A$49,0),MATCH(I$1,products!$A$1:$G$1,0))</f>
        <v>Rob</v>
      </c>
      <c r="J333" t="str" cm="1">
        <f t="array" ref="J333">INDEX(products!$B$2:$E$49,MATCH($D333,products!$A$2:$A$49,0),COLUMN(B332))</f>
        <v>M</v>
      </c>
      <c r="K333" s="4" cm="1">
        <f t="array" ref="K333">INDEX(products!$B$2:$E$49,MATCH($D333,products!$A$2:$A$49,0),COLUMN(C332))</f>
        <v>2.5</v>
      </c>
      <c r="L333" s="5" cm="1">
        <f t="array" ref="L333">INDEX(products!$B$2:$E$49,MATCH($D333,products!$A$2:$A$49,0),COLUMN(D332))</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INDEX(products!$A$1:$G$49,MATCH($D334,products!$A$1:$A$49,0),MATCH(I$1,products!$A$1:$G$1,0))</f>
        <v>Ara</v>
      </c>
      <c r="J334" t="str" cm="1">
        <f t="array" ref="J334">INDEX(products!$B$2:$E$49,MATCH($D334,products!$A$2:$A$49,0),COLUMN(B333))</f>
        <v>D</v>
      </c>
      <c r="K334" s="4" cm="1">
        <f t="array" ref="K334">INDEX(products!$B$2:$E$49,MATCH($D334,products!$A$2:$A$49,0),COLUMN(C333))</f>
        <v>0.5</v>
      </c>
      <c r="L334" s="5" cm="1">
        <f t="array" ref="L334">INDEX(products!$B$2:$E$49,MATCH($D334,products!$A$2:$A$49,0),COLUMN(D333))</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INDEX(products!$A$1:$G$49,MATCH($D335,products!$A$1:$A$49,0),MATCH(I$1,products!$A$1:$G$1,0))</f>
        <v>Rob</v>
      </c>
      <c r="J335" t="str" cm="1">
        <f t="array" ref="J335">INDEX(products!$B$2:$E$49,MATCH($D335,products!$A$2:$A$49,0),COLUMN(B334))</f>
        <v>M</v>
      </c>
      <c r="K335" s="4" cm="1">
        <f t="array" ref="K335">INDEX(products!$B$2:$E$49,MATCH($D335,products!$A$2:$A$49,0),COLUMN(C334))</f>
        <v>0.5</v>
      </c>
      <c r="L335" s="5" cm="1">
        <f t="array" ref="L335">INDEX(products!$B$2:$E$49,MATCH($D335,products!$A$2:$A$49,0),COLUMN(D334))</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f>
        <v>Elonore Goodings</v>
      </c>
      <c r="G336" s="2" t="str">
        <f>IF(_xlfn.XLOOKUP(C336,customers!$A$1:$A$1001,customers!$C$1:$C$1001,,0)=0,"",(_xlfn.XLOOKUP(C336,customers!$A$1:$A$1001,customers!$C$1:$C$1001,,0)))</f>
        <v/>
      </c>
      <c r="H336" s="2" t="str">
        <f>_xlfn.XLOOKUP(C336,customers!$A$1:$A$1001,customers!$G$1:$G$1001,,0)</f>
        <v>United States</v>
      </c>
      <c r="I336" t="str">
        <f>INDEX(products!$A$1:$G$49,MATCH($D336,products!$A$1:$A$49,0),MATCH(I$1,products!$A$1:$G$1,0))</f>
        <v>Rob</v>
      </c>
      <c r="J336" t="str" cm="1">
        <f t="array" ref="J336">INDEX(products!$B$2:$E$49,MATCH($D336,products!$A$2:$A$49,0),COLUMN(B335))</f>
        <v>L</v>
      </c>
      <c r="K336" s="4" cm="1">
        <f t="array" ref="K336">INDEX(products!$B$2:$E$49,MATCH($D336,products!$A$2:$A$49,0),COLUMN(C335))</f>
        <v>1</v>
      </c>
      <c r="L336" s="5" cm="1">
        <f t="array" ref="L336">INDEX(products!$B$2:$E$49,MATCH($D336,products!$A$2:$A$49,0),COLUMN(D335))</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INDEX(products!$A$1:$G$49,MATCH($D337,products!$A$1:$A$49,0),MATCH(I$1,products!$A$1:$G$1,0))</f>
        <v>Lib</v>
      </c>
      <c r="J337" t="str" cm="1">
        <f t="array" ref="J337">INDEX(products!$B$2:$E$49,MATCH($D337,products!$A$2:$A$49,0),COLUMN(B336))</f>
        <v>L</v>
      </c>
      <c r="K337" s="4" cm="1">
        <f t="array" ref="K337">INDEX(products!$B$2:$E$49,MATCH($D337,products!$A$2:$A$49,0),COLUMN(C336))</f>
        <v>0.2</v>
      </c>
      <c r="L337" s="5" cm="1">
        <f t="array" ref="L337">INDEX(products!$B$2:$E$49,MATCH($D337,products!$A$2:$A$49,0),COLUMN(D336))</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INDEX(products!$A$1:$G$49,MATCH($D338,products!$A$1:$A$49,0),MATCH(I$1,products!$A$1:$G$1,0))</f>
        <v>Ara</v>
      </c>
      <c r="J338" t="str" cm="1">
        <f t="array" ref="J338">INDEX(products!$B$2:$E$49,MATCH($D338,products!$A$2:$A$49,0),COLUMN(B337))</f>
        <v>M</v>
      </c>
      <c r="K338" s="4" cm="1">
        <f t="array" ref="K338">INDEX(products!$B$2:$E$49,MATCH($D338,products!$A$2:$A$49,0),COLUMN(C337))</f>
        <v>1</v>
      </c>
      <c r="L338" s="5" cm="1">
        <f t="array" ref="L338">INDEX(products!$B$2:$E$49,MATCH($D338,products!$A$2:$A$49,0),COLUMN(D337))</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f>
        <v>Flynn Antony</v>
      </c>
      <c r="G339" s="2" t="str">
        <f>IF(_xlfn.XLOOKUP(C339,customers!$A$1:$A$1001,customers!$C$1:$C$1001,,0)=0,"",(_xlfn.XLOOKUP(C339,customers!$A$1:$A$1001,customers!$C$1:$C$1001,,0)))</f>
        <v/>
      </c>
      <c r="H339" s="2" t="str">
        <f>_xlfn.XLOOKUP(C339,customers!$A$1:$A$1001,customers!$G$1:$G$1001,,0)</f>
        <v>United States</v>
      </c>
      <c r="I339" t="str">
        <f>INDEX(products!$A$1:$G$49,MATCH($D339,products!$A$1:$A$49,0),MATCH(I$1,products!$A$1:$G$1,0))</f>
        <v>Exc</v>
      </c>
      <c r="J339" t="str" cm="1">
        <f t="array" ref="J339">INDEX(products!$B$2:$E$49,MATCH($D339,products!$A$2:$A$49,0),COLUMN(B338))</f>
        <v>D</v>
      </c>
      <c r="K339" s="4" cm="1">
        <f t="array" ref="K339">INDEX(products!$B$2:$E$49,MATCH($D339,products!$A$2:$A$49,0),COLUMN(C338))</f>
        <v>2.5</v>
      </c>
      <c r="L339" s="5" cm="1">
        <f t="array" ref="L339">INDEX(products!$B$2:$E$49,MATCH($D339,products!$A$2:$A$49,0),COLUMN(D338))</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INDEX(products!$A$1:$G$49,MATCH($D340,products!$A$1:$A$49,0),MATCH(I$1,products!$A$1:$G$1,0))</f>
        <v>Exc</v>
      </c>
      <c r="J340" t="str" cm="1">
        <f t="array" ref="J340">INDEX(products!$B$2:$E$49,MATCH($D340,products!$A$2:$A$49,0),COLUMN(B339))</f>
        <v>L</v>
      </c>
      <c r="K340" s="4" cm="1">
        <f t="array" ref="K340">INDEX(products!$B$2:$E$49,MATCH($D340,products!$A$2:$A$49,0),COLUMN(C339))</f>
        <v>1</v>
      </c>
      <c r="L340" s="5" cm="1">
        <f t="array" ref="L340">INDEX(products!$B$2:$E$49,MATCH($D340,products!$A$2:$A$49,0),COLUMN(D339))</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INDEX(products!$A$1:$G$49,MATCH($D341,products!$A$1:$A$49,0),MATCH(I$1,products!$A$1:$G$1,0))</f>
        <v>Exc</v>
      </c>
      <c r="J341" t="str" cm="1">
        <f t="array" ref="J341">INDEX(products!$B$2:$E$49,MATCH($D341,products!$A$2:$A$49,0),COLUMN(B340))</f>
        <v>D</v>
      </c>
      <c r="K341" s="4" cm="1">
        <f t="array" ref="K341">INDEX(products!$B$2:$E$49,MATCH($D341,products!$A$2:$A$49,0),COLUMN(C340))</f>
        <v>0.2</v>
      </c>
      <c r="L341" s="5" cm="1">
        <f t="array" ref="L341">INDEX(products!$B$2:$E$49,MATCH($D341,products!$A$2:$A$49,0),COLUMN(D340))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INDEX(products!$A$1:$G$49,MATCH($D342,products!$A$1:$A$49,0),MATCH(I$1,products!$A$1:$G$1,0))</f>
        <v>Exc</v>
      </c>
      <c r="J342" t="str" cm="1">
        <f t="array" ref="J342">INDEX(products!$B$2:$E$49,MATCH($D342,products!$A$2:$A$49,0),COLUMN(B341))</f>
        <v>D</v>
      </c>
      <c r="K342" s="4" cm="1">
        <f t="array" ref="K342">INDEX(products!$B$2:$E$49,MATCH($D342,products!$A$2:$A$49,0),COLUMN(C341))</f>
        <v>0.5</v>
      </c>
      <c r="L342" s="5" cm="1">
        <f t="array" ref="L342">INDEX(products!$B$2:$E$49,MATCH($D342,products!$A$2:$A$49,0),COLUMN(D341))</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INDEX(products!$A$1:$G$49,MATCH($D343,products!$A$1:$A$49,0),MATCH(I$1,products!$A$1:$G$1,0))</f>
        <v>Exc</v>
      </c>
      <c r="J343" t="str" cm="1">
        <f t="array" ref="J343">INDEX(products!$B$2:$E$49,MATCH($D343,products!$A$2:$A$49,0),COLUMN(B342))</f>
        <v>L</v>
      </c>
      <c r="K343" s="4" cm="1">
        <f t="array" ref="K343">INDEX(products!$B$2:$E$49,MATCH($D343,products!$A$2:$A$49,0),COLUMN(C342))</f>
        <v>0.5</v>
      </c>
      <c r="L343" s="5" cm="1">
        <f t="array" ref="L343">INDEX(products!$B$2:$E$49,MATCH($D343,products!$A$2:$A$49,0),COLUMN(D342))</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INDEX(products!$A$1:$G$49,MATCH($D344,products!$A$1:$A$49,0),MATCH(I$1,products!$A$1:$G$1,0))</f>
        <v>Lib</v>
      </c>
      <c r="J344" t="str" cm="1">
        <f t="array" ref="J344">INDEX(products!$B$2:$E$49,MATCH($D344,products!$A$2:$A$49,0),COLUMN(B343))</f>
        <v>D</v>
      </c>
      <c r="K344" s="4" cm="1">
        <f t="array" ref="K344">INDEX(products!$B$2:$E$49,MATCH($D344,products!$A$2:$A$49,0),COLUMN(C343))</f>
        <v>0.5</v>
      </c>
      <c r="L344" s="5" cm="1">
        <f t="array" ref="L344">INDEX(products!$B$2:$E$49,MATCH($D344,products!$A$2:$A$49,0),COLUMN(D343))</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INDEX(products!$A$1:$G$49,MATCH($D345,products!$A$1:$A$49,0),MATCH(I$1,products!$A$1:$G$1,0))</f>
        <v>Rob</v>
      </c>
      <c r="J345" t="str" cm="1">
        <f t="array" ref="J345">INDEX(products!$B$2:$E$49,MATCH($D345,products!$A$2:$A$49,0),COLUMN(B344))</f>
        <v>D</v>
      </c>
      <c r="K345" s="4" cm="1">
        <f t="array" ref="K345">INDEX(products!$B$2:$E$49,MATCH($D345,products!$A$2:$A$49,0),COLUMN(C344))</f>
        <v>0.5</v>
      </c>
      <c r="L345" s="5" cm="1">
        <f t="array" ref="L345">INDEX(products!$B$2:$E$49,MATCH($D345,products!$A$2:$A$49,0),COLUMN(D344))</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f>
        <v>Catarina Donn</v>
      </c>
      <c r="G346" s="2" t="str">
        <f>IF(_xlfn.XLOOKUP(C346,customers!$A$1:$A$1001,customers!$C$1:$C$1001,,0)=0,"",(_xlfn.XLOOKUP(C346,customers!$A$1:$A$1001,customers!$C$1:$C$1001,,0)))</f>
        <v/>
      </c>
      <c r="H346" s="2" t="str">
        <f>_xlfn.XLOOKUP(C346,customers!$A$1:$A$1001,customers!$G$1:$G$1001,,0)</f>
        <v>Ireland</v>
      </c>
      <c r="I346" t="str">
        <f>INDEX(products!$A$1:$G$49,MATCH($D346,products!$A$1:$A$49,0),MATCH(I$1,products!$A$1:$G$1,0))</f>
        <v>Rob</v>
      </c>
      <c r="J346" t="str" cm="1">
        <f t="array" ref="J346">INDEX(products!$B$2:$E$49,MATCH($D346,products!$A$2:$A$49,0),COLUMN(B345))</f>
        <v>M</v>
      </c>
      <c r="K346" s="4" cm="1">
        <f t="array" ref="K346">INDEX(products!$B$2:$E$49,MATCH($D346,products!$A$2:$A$49,0),COLUMN(C345))</f>
        <v>1</v>
      </c>
      <c r="L346" s="5" cm="1">
        <f t="array" ref="L346">INDEX(products!$B$2:$E$49,MATCH($D346,products!$A$2:$A$49,0),COLUMN(D345))</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INDEX(products!$A$1:$G$49,MATCH($D347,products!$A$1:$A$49,0),MATCH(I$1,products!$A$1:$G$1,0))</f>
        <v>Rob</v>
      </c>
      <c r="J347" t="str" cm="1">
        <f t="array" ref="J347">INDEX(products!$B$2:$E$49,MATCH($D347,products!$A$2:$A$49,0),COLUMN(B346))</f>
        <v>L</v>
      </c>
      <c r="K347" s="4" cm="1">
        <f t="array" ref="K347">INDEX(products!$B$2:$E$49,MATCH($D347,products!$A$2:$A$49,0),COLUMN(C346))</f>
        <v>1</v>
      </c>
      <c r="L347" s="5" cm="1">
        <f t="array" ref="L347">INDEX(products!$B$2:$E$49,MATCH($D347,products!$A$2:$A$49,0),COLUMN(D346))</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INDEX(products!$A$1:$G$49,MATCH($D348,products!$A$1:$A$49,0),MATCH(I$1,products!$A$1:$G$1,0))</f>
        <v>Ara</v>
      </c>
      <c r="J348" t="str" cm="1">
        <f t="array" ref="J348">INDEX(products!$B$2:$E$49,MATCH($D348,products!$A$2:$A$49,0),COLUMN(B347))</f>
        <v>L</v>
      </c>
      <c r="K348" s="4" cm="1">
        <f t="array" ref="K348">INDEX(products!$B$2:$E$49,MATCH($D348,products!$A$2:$A$49,0),COLUMN(C347))</f>
        <v>0.5</v>
      </c>
      <c r="L348" s="5" cm="1">
        <f t="array" ref="L348">INDEX(products!$B$2:$E$49,MATCH($D348,products!$A$2:$A$49,0),COLUMN(D347))</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INDEX(products!$A$1:$G$49,MATCH($D349,products!$A$1:$A$49,0),MATCH(I$1,products!$A$1:$G$1,0))</f>
        <v>Lib</v>
      </c>
      <c r="J349" t="str" cm="1">
        <f t="array" ref="J349">INDEX(products!$B$2:$E$49,MATCH($D349,products!$A$2:$A$49,0),COLUMN(B348))</f>
        <v>M</v>
      </c>
      <c r="K349" s="4" cm="1">
        <f t="array" ref="K349">INDEX(products!$B$2:$E$49,MATCH($D349,products!$A$2:$A$49,0),COLUMN(C348))</f>
        <v>1</v>
      </c>
      <c r="L349" s="5" cm="1">
        <f t="array" ref="L349">INDEX(products!$B$2:$E$49,MATCH($D349,products!$A$2:$A$49,0),COLUMN(D348))</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INDEX(products!$A$1:$G$49,MATCH($D350,products!$A$1:$A$49,0),MATCH(I$1,products!$A$1:$G$1,0))</f>
        <v>Exc</v>
      </c>
      <c r="J350" t="str" cm="1">
        <f t="array" ref="J350">INDEX(products!$B$2:$E$49,MATCH($D350,products!$A$2:$A$49,0),COLUMN(B349))</f>
        <v>L</v>
      </c>
      <c r="K350" s="4" cm="1">
        <f t="array" ref="K350">INDEX(products!$B$2:$E$49,MATCH($D350,products!$A$2:$A$49,0),COLUMN(C349))</f>
        <v>2.5</v>
      </c>
      <c r="L350" s="5" cm="1">
        <f t="array" ref="L350">INDEX(products!$B$2:$E$49,MATCH($D350,products!$A$2:$A$49,0),COLUMN(D349))</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INDEX(products!$A$1:$G$49,MATCH($D351,products!$A$1:$A$49,0),MATCH(I$1,products!$A$1:$G$1,0))</f>
        <v>Rob</v>
      </c>
      <c r="J351" t="str" cm="1">
        <f t="array" ref="J351">INDEX(products!$B$2:$E$49,MATCH($D351,products!$A$2:$A$49,0),COLUMN(B350))</f>
        <v>L</v>
      </c>
      <c r="K351" s="4" cm="1">
        <f t="array" ref="K351">INDEX(products!$B$2:$E$49,MATCH($D351,products!$A$2:$A$49,0),COLUMN(C350))</f>
        <v>0.2</v>
      </c>
      <c r="L351" s="5" cm="1">
        <f t="array" ref="L351">INDEX(products!$B$2:$E$49,MATCH($D351,products!$A$2:$A$49,0),COLUMN(D350))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INDEX(products!$A$1:$G$49,MATCH($D352,products!$A$1:$A$49,0),MATCH(I$1,products!$A$1:$G$1,0))</f>
        <v>Ara</v>
      </c>
      <c r="J352" t="str" cm="1">
        <f t="array" ref="J352">INDEX(products!$B$2:$E$49,MATCH($D352,products!$A$2:$A$49,0),COLUMN(B351))</f>
        <v>D</v>
      </c>
      <c r="K352" s="4" cm="1">
        <f t="array" ref="K352">INDEX(products!$B$2:$E$49,MATCH($D352,products!$A$2:$A$49,0),COLUMN(C351))</f>
        <v>0.5</v>
      </c>
      <c r="L352" s="5" cm="1">
        <f t="array" ref="L352">INDEX(products!$B$2:$E$49,MATCH($D352,products!$A$2:$A$49,0),COLUMN(D351))</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INDEX(products!$A$1:$G$49,MATCH($D353,products!$A$1:$A$49,0),MATCH(I$1,products!$A$1:$G$1,0))</f>
        <v>Ara</v>
      </c>
      <c r="J353" t="str" cm="1">
        <f t="array" ref="J353">INDEX(products!$B$2:$E$49,MATCH($D353,products!$A$2:$A$49,0),COLUMN(B352))</f>
        <v>M</v>
      </c>
      <c r="K353" s="4" cm="1">
        <f t="array" ref="K353">INDEX(products!$B$2:$E$49,MATCH($D353,products!$A$2:$A$49,0),COLUMN(C352))</f>
        <v>1</v>
      </c>
      <c r="L353" s="5" cm="1">
        <f t="array" ref="L353">INDEX(products!$B$2:$E$49,MATCH($D353,products!$A$2:$A$49,0),COLUMN(D352))</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f>
        <v>Flynn Antony</v>
      </c>
      <c r="G354" s="2" t="str">
        <f>IF(_xlfn.XLOOKUP(C354,customers!$A$1:$A$1001,customers!$C$1:$C$1001,,0)=0,"",(_xlfn.XLOOKUP(C354,customers!$A$1:$A$1001,customers!$C$1:$C$1001,,0)))</f>
        <v/>
      </c>
      <c r="H354" s="2" t="str">
        <f>_xlfn.XLOOKUP(C354,customers!$A$1:$A$1001,customers!$G$1:$G$1001,,0)</f>
        <v>United States</v>
      </c>
      <c r="I354" t="str">
        <f>INDEX(products!$A$1:$G$49,MATCH($D354,products!$A$1:$A$49,0),MATCH(I$1,products!$A$1:$G$1,0))</f>
        <v>Exc</v>
      </c>
      <c r="J354" t="str" cm="1">
        <f t="array" ref="J354">INDEX(products!$B$2:$E$49,MATCH($D354,products!$A$2:$A$49,0),COLUMN(B353))</f>
        <v>D</v>
      </c>
      <c r="K354" s="4" cm="1">
        <f t="array" ref="K354">INDEX(products!$B$2:$E$49,MATCH($D354,products!$A$2:$A$49,0),COLUMN(C353))</f>
        <v>0.5</v>
      </c>
      <c r="L354" s="5" cm="1">
        <f t="array" ref="L354">INDEX(products!$B$2:$E$49,MATCH($D354,products!$A$2:$A$49,0),COLUMN(D353))</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f>
        <v>Maitilde Boxill</v>
      </c>
      <c r="G355" s="2" t="str">
        <f>IF(_xlfn.XLOOKUP(C355,customers!$A$1:$A$1001,customers!$C$1:$C$1001,,0)=0,"",(_xlfn.XLOOKUP(C355,customers!$A$1:$A$1001,customers!$C$1:$C$1001,,0)))</f>
        <v/>
      </c>
      <c r="H355" s="2" t="str">
        <f>_xlfn.XLOOKUP(C355,customers!$A$1:$A$1001,customers!$G$1:$G$1001,,0)</f>
        <v>United States</v>
      </c>
      <c r="I355" t="str">
        <f>INDEX(products!$A$1:$G$49,MATCH($D355,products!$A$1:$A$49,0),MATCH(I$1,products!$A$1:$G$1,0))</f>
        <v>Ara</v>
      </c>
      <c r="J355" t="str" cm="1">
        <f t="array" ref="J355">INDEX(products!$B$2:$E$49,MATCH($D355,products!$A$2:$A$49,0),COLUMN(B354))</f>
        <v>M</v>
      </c>
      <c r="K355" s="4" cm="1">
        <f t="array" ref="K355">INDEX(products!$B$2:$E$49,MATCH($D355,products!$A$2:$A$49,0),COLUMN(C354))</f>
        <v>0.5</v>
      </c>
      <c r="L355" s="5" cm="1">
        <f t="array" ref="L355">INDEX(products!$B$2:$E$49,MATCH($D355,products!$A$2:$A$49,0),COLUMN(D354))</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INDEX(products!$A$1:$G$49,MATCH($D356,products!$A$1:$A$49,0),MATCH(I$1,products!$A$1:$G$1,0))</f>
        <v>Ara</v>
      </c>
      <c r="J356" t="str" cm="1">
        <f t="array" ref="J356">INDEX(products!$B$2:$E$49,MATCH($D356,products!$A$2:$A$49,0),COLUMN(B355))</f>
        <v>M</v>
      </c>
      <c r="K356" s="4" cm="1">
        <f t="array" ref="K356">INDEX(products!$B$2:$E$49,MATCH($D356,products!$A$2:$A$49,0),COLUMN(C355))</f>
        <v>2.5</v>
      </c>
      <c r="L356" s="5" cm="1">
        <f t="array" ref="L356">INDEX(products!$B$2:$E$49,MATCH($D356,products!$A$2:$A$49,0),COLUMN(D355))</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INDEX(products!$A$1:$G$49,MATCH($D357,products!$A$1:$A$49,0),MATCH(I$1,products!$A$1:$G$1,0))</f>
        <v>Ara</v>
      </c>
      <c r="J357" t="str" cm="1">
        <f t="array" ref="J357">INDEX(products!$B$2:$E$49,MATCH($D357,products!$A$2:$A$49,0),COLUMN(B356))</f>
        <v>D</v>
      </c>
      <c r="K357" s="4" cm="1">
        <f t="array" ref="K357">INDEX(products!$B$2:$E$49,MATCH($D357,products!$A$2:$A$49,0),COLUMN(C356))</f>
        <v>2.5</v>
      </c>
      <c r="L357" s="5" cm="1">
        <f t="array" ref="L357">INDEX(products!$B$2:$E$49,MATCH($D357,products!$A$2:$A$49,0),COLUMN(D356))</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INDEX(products!$A$1:$G$49,MATCH($D358,products!$A$1:$A$49,0),MATCH(I$1,products!$A$1:$G$1,0))</f>
        <v>Lib</v>
      </c>
      <c r="J358" t="str" cm="1">
        <f t="array" ref="J358">INDEX(products!$B$2:$E$49,MATCH($D358,products!$A$2:$A$49,0),COLUMN(B357))</f>
        <v>D</v>
      </c>
      <c r="K358" s="4" cm="1">
        <f t="array" ref="K358">INDEX(products!$B$2:$E$49,MATCH($D358,products!$A$2:$A$49,0),COLUMN(C357))</f>
        <v>1</v>
      </c>
      <c r="L358" s="5" cm="1">
        <f t="array" ref="L358">INDEX(products!$B$2:$E$49,MATCH($D358,products!$A$2:$A$49,0),COLUMN(D357))</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f>
        <v>Enriqueta Ixor</v>
      </c>
      <c r="G359" s="2" t="str">
        <f>IF(_xlfn.XLOOKUP(C359,customers!$A$1:$A$1001,customers!$C$1:$C$1001,,0)=0,"",(_xlfn.XLOOKUP(C359,customers!$A$1:$A$1001,customers!$C$1:$C$1001,,0)))</f>
        <v/>
      </c>
      <c r="H359" s="2" t="str">
        <f>_xlfn.XLOOKUP(C359,customers!$A$1:$A$1001,customers!$G$1:$G$1001,,0)</f>
        <v>United States</v>
      </c>
      <c r="I359" t="str">
        <f>INDEX(products!$A$1:$G$49,MATCH($D359,products!$A$1:$A$49,0),MATCH(I$1,products!$A$1:$G$1,0))</f>
        <v>Ara</v>
      </c>
      <c r="J359" t="str" cm="1">
        <f t="array" ref="J359">INDEX(products!$B$2:$E$49,MATCH($D359,products!$A$2:$A$49,0),COLUMN(B358))</f>
        <v>M</v>
      </c>
      <c r="K359" s="4" cm="1">
        <f t="array" ref="K359">INDEX(products!$B$2:$E$49,MATCH($D359,products!$A$2:$A$49,0),COLUMN(C358))</f>
        <v>2.5</v>
      </c>
      <c r="L359" s="5" cm="1">
        <f t="array" ref="L359">INDEX(products!$B$2:$E$49,MATCH($D359,products!$A$2:$A$49,0),COLUMN(D358))</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INDEX(products!$A$1:$G$49,MATCH($D360,products!$A$1:$A$49,0),MATCH(I$1,products!$A$1:$G$1,0))</f>
        <v>Ara</v>
      </c>
      <c r="J360" t="str" cm="1">
        <f t="array" ref="J360">INDEX(products!$B$2:$E$49,MATCH($D360,products!$A$2:$A$49,0),COLUMN(B359))</f>
        <v>L</v>
      </c>
      <c r="K360" s="4" cm="1">
        <f t="array" ref="K360">INDEX(products!$B$2:$E$49,MATCH($D360,products!$A$2:$A$49,0),COLUMN(C359))</f>
        <v>2.5</v>
      </c>
      <c r="L360" s="5" cm="1">
        <f t="array" ref="L360">INDEX(products!$B$2:$E$49,MATCH($D360,products!$A$2:$A$49,0),COLUMN(D359))</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INDEX(products!$A$1:$G$49,MATCH($D361,products!$A$1:$A$49,0),MATCH(I$1,products!$A$1:$G$1,0))</f>
        <v>Rob</v>
      </c>
      <c r="J361" t="str" cm="1">
        <f t="array" ref="J361">INDEX(products!$B$2:$E$49,MATCH($D361,products!$A$2:$A$49,0),COLUMN(B360))</f>
        <v>L</v>
      </c>
      <c r="K361" s="4" cm="1">
        <f t="array" ref="K361">INDEX(products!$B$2:$E$49,MATCH($D361,products!$A$2:$A$49,0),COLUMN(C360))</f>
        <v>0.2</v>
      </c>
      <c r="L361" s="5" cm="1">
        <f t="array" ref="L361">INDEX(products!$B$2:$E$49,MATCH($D361,products!$A$2:$A$49,0),COLUMN(D360))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INDEX(products!$A$1:$G$49,MATCH($D362,products!$A$1:$A$49,0),MATCH(I$1,products!$A$1:$G$1,0))</f>
        <v>Rob</v>
      </c>
      <c r="J362" t="str" cm="1">
        <f t="array" ref="J362">INDEX(products!$B$2:$E$49,MATCH($D362,products!$A$2:$A$49,0),COLUMN(B361))</f>
        <v>D</v>
      </c>
      <c r="K362" s="4" cm="1">
        <f t="array" ref="K362">INDEX(products!$B$2:$E$49,MATCH($D362,products!$A$2:$A$49,0),COLUMN(C361))</f>
        <v>2.5</v>
      </c>
      <c r="L362" s="5" cm="1">
        <f t="array" ref="L362">INDEX(products!$B$2:$E$49,MATCH($D362,products!$A$2:$A$49,0),COLUMN(D361))</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INDEX(products!$A$1:$G$49,MATCH($D363,products!$A$1:$A$49,0),MATCH(I$1,products!$A$1:$G$1,0))</f>
        <v>Rob</v>
      </c>
      <c r="J363" t="str" cm="1">
        <f t="array" ref="J363">INDEX(products!$B$2:$E$49,MATCH($D363,products!$A$2:$A$49,0),COLUMN(B362))</f>
        <v>M</v>
      </c>
      <c r="K363" s="4" cm="1">
        <f t="array" ref="K363">INDEX(products!$B$2:$E$49,MATCH($D363,products!$A$2:$A$49,0),COLUMN(C362))</f>
        <v>0.5</v>
      </c>
      <c r="L363" s="5" cm="1">
        <f t="array" ref="L363">INDEX(products!$B$2:$E$49,MATCH($D363,products!$A$2:$A$49,0),COLUMN(D362))</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INDEX(products!$A$1:$G$49,MATCH($D364,products!$A$1:$A$49,0),MATCH(I$1,products!$A$1:$G$1,0))</f>
        <v>Exc</v>
      </c>
      <c r="J364" t="str" cm="1">
        <f t="array" ref="J364">INDEX(products!$B$2:$E$49,MATCH($D364,products!$A$2:$A$49,0),COLUMN(B363))</f>
        <v>L</v>
      </c>
      <c r="K364" s="4" cm="1">
        <f t="array" ref="K364">INDEX(products!$B$2:$E$49,MATCH($D364,products!$A$2:$A$49,0),COLUMN(C363))</f>
        <v>1</v>
      </c>
      <c r="L364" s="5" cm="1">
        <f t="array" ref="L364">INDEX(products!$B$2:$E$49,MATCH($D364,products!$A$2:$A$49,0),COLUMN(D363))</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INDEX(products!$A$1:$G$49,MATCH($D365,products!$A$1:$A$49,0),MATCH(I$1,products!$A$1:$G$1,0))</f>
        <v>Lib</v>
      </c>
      <c r="J365" t="str" cm="1">
        <f t="array" ref="J365">INDEX(products!$B$2:$E$49,MATCH($D365,products!$A$2:$A$49,0),COLUMN(B364))</f>
        <v>M</v>
      </c>
      <c r="K365" s="4" cm="1">
        <f t="array" ref="K365">INDEX(products!$B$2:$E$49,MATCH($D365,products!$A$2:$A$49,0),COLUMN(C364))</f>
        <v>1</v>
      </c>
      <c r="L365" s="5" cm="1">
        <f t="array" ref="L365">INDEX(products!$B$2:$E$49,MATCH($D365,products!$A$2:$A$49,0),COLUMN(D364))</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INDEX(products!$A$1:$G$49,MATCH($D366,products!$A$1:$A$49,0),MATCH(I$1,products!$A$1:$G$1,0))</f>
        <v>Exc</v>
      </c>
      <c r="J366" t="str" cm="1">
        <f t="array" ref="J366">INDEX(products!$B$2:$E$49,MATCH($D366,products!$A$2:$A$49,0),COLUMN(B365))</f>
        <v>D</v>
      </c>
      <c r="K366" s="4" cm="1">
        <f t="array" ref="K366">INDEX(products!$B$2:$E$49,MATCH($D366,products!$A$2:$A$49,0),COLUMN(C365))</f>
        <v>1</v>
      </c>
      <c r="L366" s="5" cm="1">
        <f t="array" ref="L366">INDEX(products!$B$2:$E$49,MATCH($D366,products!$A$2:$A$49,0),COLUMN(D365))</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INDEX(products!$A$1:$G$49,MATCH($D367,products!$A$1:$A$49,0),MATCH(I$1,products!$A$1:$G$1,0))</f>
        <v>Lib</v>
      </c>
      <c r="J367" t="str" cm="1">
        <f t="array" ref="J367">INDEX(products!$B$2:$E$49,MATCH($D367,products!$A$2:$A$49,0),COLUMN(B366))</f>
        <v>D</v>
      </c>
      <c r="K367" s="4" cm="1">
        <f t="array" ref="K367">INDEX(products!$B$2:$E$49,MATCH($D367,products!$A$2:$A$49,0),COLUMN(C366))</f>
        <v>0.5</v>
      </c>
      <c r="L367" s="5" cm="1">
        <f t="array" ref="L367">INDEX(products!$B$2:$E$49,MATCH($D367,products!$A$2:$A$49,0),COLUMN(D366))</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f>
        <v>Saree Ellesworth</v>
      </c>
      <c r="G368" s="2" t="str">
        <f>IF(_xlfn.XLOOKUP(C368,customers!$A$1:$A$1001,customers!$C$1:$C$1001,,0)=0,"",(_xlfn.XLOOKUP(C368,customers!$A$1:$A$1001,customers!$C$1:$C$1001,,0)))</f>
        <v/>
      </c>
      <c r="H368" s="2" t="str">
        <f>_xlfn.XLOOKUP(C368,customers!$A$1:$A$1001,customers!$G$1:$G$1001,,0)</f>
        <v>United States</v>
      </c>
      <c r="I368" t="str">
        <f>INDEX(products!$A$1:$G$49,MATCH($D368,products!$A$1:$A$49,0),MATCH(I$1,products!$A$1:$G$1,0))</f>
        <v>Exc</v>
      </c>
      <c r="J368" t="str" cm="1">
        <f t="array" ref="J368">INDEX(products!$B$2:$E$49,MATCH($D368,products!$A$2:$A$49,0),COLUMN(B367))</f>
        <v>D</v>
      </c>
      <c r="K368" s="4" cm="1">
        <f t="array" ref="K368">INDEX(products!$B$2:$E$49,MATCH($D368,products!$A$2:$A$49,0),COLUMN(C367))</f>
        <v>0.5</v>
      </c>
      <c r="L368" s="5" cm="1">
        <f t="array" ref="L368">INDEX(products!$B$2:$E$49,MATCH($D368,products!$A$2:$A$49,0),COLUMN(D367))</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f>
        <v>Silvio Iorizzi</v>
      </c>
      <c r="G369" s="2" t="str">
        <f>IF(_xlfn.XLOOKUP(C369,customers!$A$1:$A$1001,customers!$C$1:$C$1001,,0)=0,"",(_xlfn.XLOOKUP(C369,customers!$A$1:$A$1001,customers!$C$1:$C$1001,,0)))</f>
        <v/>
      </c>
      <c r="H369" s="2" t="str">
        <f>_xlfn.XLOOKUP(C369,customers!$A$1:$A$1001,customers!$G$1:$G$1001,,0)</f>
        <v>United States</v>
      </c>
      <c r="I369" t="str">
        <f>INDEX(products!$A$1:$G$49,MATCH($D369,products!$A$1:$A$49,0),MATCH(I$1,products!$A$1:$G$1,0))</f>
        <v>Lib</v>
      </c>
      <c r="J369" t="str" cm="1">
        <f t="array" ref="J369">INDEX(products!$B$2:$E$49,MATCH($D369,products!$A$2:$A$49,0),COLUMN(B368))</f>
        <v>M</v>
      </c>
      <c r="K369" s="4" cm="1">
        <f t="array" ref="K369">INDEX(products!$B$2:$E$49,MATCH($D369,products!$A$2:$A$49,0),COLUMN(C368))</f>
        <v>0.2</v>
      </c>
      <c r="L369" s="5" cm="1">
        <f t="array" ref="L369">INDEX(products!$B$2:$E$49,MATCH($D369,products!$A$2:$A$49,0),COLUMN(D368))</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INDEX(products!$A$1:$G$49,MATCH($D370,products!$A$1:$A$49,0),MATCH(I$1,products!$A$1:$G$1,0))</f>
        <v>Exc</v>
      </c>
      <c r="J370" t="str" cm="1">
        <f t="array" ref="J370">INDEX(products!$B$2:$E$49,MATCH($D370,products!$A$2:$A$49,0),COLUMN(B369))</f>
        <v>M</v>
      </c>
      <c r="K370" s="4" cm="1">
        <f t="array" ref="K370">INDEX(products!$B$2:$E$49,MATCH($D370,products!$A$2:$A$49,0),COLUMN(C369))</f>
        <v>2.5</v>
      </c>
      <c r="L370" s="5" cm="1">
        <f t="array" ref="L370">INDEX(products!$B$2:$E$49,MATCH($D370,products!$A$2:$A$49,0),COLUMN(D369))</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f>
        <v>Abba Pummell</v>
      </c>
      <c r="G371" s="2" t="str">
        <f>IF(_xlfn.XLOOKUP(C371,customers!$A$1:$A$1001,customers!$C$1:$C$1001,,0)=0,"",(_xlfn.XLOOKUP(C371,customers!$A$1:$A$1001,customers!$C$1:$C$1001,,0)))</f>
        <v/>
      </c>
      <c r="H371" s="2" t="str">
        <f>_xlfn.XLOOKUP(C371,customers!$A$1:$A$1001,customers!$G$1:$G$1001,,0)</f>
        <v>United States</v>
      </c>
      <c r="I371" t="str">
        <f>INDEX(products!$A$1:$G$49,MATCH($D371,products!$A$1:$A$49,0),MATCH(I$1,products!$A$1:$G$1,0))</f>
        <v>Exc</v>
      </c>
      <c r="J371" t="str" cm="1">
        <f t="array" ref="J371">INDEX(products!$B$2:$E$49,MATCH($D371,products!$A$2:$A$49,0),COLUMN(B370))</f>
        <v>L</v>
      </c>
      <c r="K371" s="4" cm="1">
        <f t="array" ref="K371">INDEX(products!$B$2:$E$49,MATCH($D371,products!$A$2:$A$49,0),COLUMN(C370))</f>
        <v>0.5</v>
      </c>
      <c r="L371" s="5" cm="1">
        <f t="array" ref="L371">INDEX(products!$B$2:$E$49,MATCH($D371,products!$A$2:$A$49,0),COLUMN(D370))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INDEX(products!$A$1:$G$49,MATCH($D372,products!$A$1:$A$49,0),MATCH(I$1,products!$A$1:$G$1,0))</f>
        <v>Exc</v>
      </c>
      <c r="J372" t="str" cm="1">
        <f t="array" ref="J372">INDEX(products!$B$2:$E$49,MATCH($D372,products!$A$2:$A$49,0),COLUMN(B371))</f>
        <v>D</v>
      </c>
      <c r="K372" s="4" cm="1">
        <f t="array" ref="K372">INDEX(products!$B$2:$E$49,MATCH($D372,products!$A$2:$A$49,0),COLUMN(C371))</f>
        <v>1</v>
      </c>
      <c r="L372" s="5" cm="1">
        <f t="array" ref="L372">INDEX(products!$B$2:$E$49,MATCH($D372,products!$A$2:$A$49,0),COLUMN(D371))</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INDEX(products!$A$1:$G$49,MATCH($D373,products!$A$1:$A$49,0),MATCH(I$1,products!$A$1:$G$1,0))</f>
        <v>Ara</v>
      </c>
      <c r="J373" t="str" cm="1">
        <f t="array" ref="J373">INDEX(products!$B$2:$E$49,MATCH($D373,products!$A$2:$A$49,0),COLUMN(B372))</f>
        <v>L</v>
      </c>
      <c r="K373" s="4" cm="1">
        <f t="array" ref="K373">INDEX(products!$B$2:$E$49,MATCH($D373,products!$A$2:$A$49,0),COLUMN(C372))</f>
        <v>0.5</v>
      </c>
      <c r="L373" s="5" cm="1">
        <f t="array" ref="L373">INDEX(products!$B$2:$E$49,MATCH($D373,products!$A$2:$A$49,0),COLUMN(D372))</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INDEX(products!$A$1:$G$49,MATCH($D374,products!$A$1:$A$49,0),MATCH(I$1,products!$A$1:$G$1,0))</f>
        <v>Rob</v>
      </c>
      <c r="J374" t="str" cm="1">
        <f t="array" ref="J374">INDEX(products!$B$2:$E$49,MATCH($D374,products!$A$2:$A$49,0),COLUMN(B373))</f>
        <v>L</v>
      </c>
      <c r="K374" s="4" cm="1">
        <f t="array" ref="K374">INDEX(products!$B$2:$E$49,MATCH($D374,products!$A$2:$A$49,0),COLUMN(C373))</f>
        <v>0.5</v>
      </c>
      <c r="L374" s="5" cm="1">
        <f t="array" ref="L374">INDEX(products!$B$2:$E$49,MATCH($D374,products!$A$2:$A$49,0),COLUMN(D373))</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f>
        <v>Corney Curme</v>
      </c>
      <c r="G375" s="2" t="str">
        <f>IF(_xlfn.XLOOKUP(C375,customers!$A$1:$A$1001,customers!$C$1:$C$1001,,0)=0,"",(_xlfn.XLOOKUP(C375,customers!$A$1:$A$1001,customers!$C$1:$C$1001,,0)))</f>
        <v/>
      </c>
      <c r="H375" s="2" t="str">
        <f>_xlfn.XLOOKUP(C375,customers!$A$1:$A$1001,customers!$G$1:$G$1001,,0)</f>
        <v>Ireland</v>
      </c>
      <c r="I375" t="str">
        <f>INDEX(products!$A$1:$G$49,MATCH($D375,products!$A$1:$A$49,0),MATCH(I$1,products!$A$1:$G$1,0))</f>
        <v>Ara</v>
      </c>
      <c r="J375" t="str" cm="1">
        <f t="array" ref="J375">INDEX(products!$B$2:$E$49,MATCH($D375,products!$A$2:$A$49,0),COLUMN(B374))</f>
        <v>D</v>
      </c>
      <c r="K375" s="4" cm="1">
        <f t="array" ref="K375">INDEX(products!$B$2:$E$49,MATCH($D375,products!$A$2:$A$49,0),COLUMN(C374))</f>
        <v>0.5</v>
      </c>
      <c r="L375" s="5" cm="1">
        <f t="array" ref="L375">INDEX(products!$B$2:$E$49,MATCH($D375,products!$A$2:$A$49,0),COLUMN(D374))</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INDEX(products!$A$1:$G$49,MATCH($D376,products!$A$1:$A$49,0),MATCH(I$1,products!$A$1:$G$1,0))</f>
        <v>Lib</v>
      </c>
      <c r="J376" t="str" cm="1">
        <f t="array" ref="J376">INDEX(products!$B$2:$E$49,MATCH($D376,products!$A$2:$A$49,0),COLUMN(B375))</f>
        <v>L</v>
      </c>
      <c r="K376" s="4" cm="1">
        <f t="array" ref="K376">INDEX(products!$B$2:$E$49,MATCH($D376,products!$A$2:$A$49,0),COLUMN(C375))</f>
        <v>0.5</v>
      </c>
      <c r="L376" s="5" cm="1">
        <f t="array" ref="L376">INDEX(products!$B$2:$E$49,MATCH($D376,products!$A$2:$A$49,0),COLUMN(D375))</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INDEX(products!$A$1:$G$49,MATCH($D377,products!$A$1:$A$49,0),MATCH(I$1,products!$A$1:$G$1,0))</f>
        <v>Ara</v>
      </c>
      <c r="J377" t="str" cm="1">
        <f t="array" ref="J377">INDEX(products!$B$2:$E$49,MATCH($D377,products!$A$2:$A$49,0),COLUMN(B376))</f>
        <v>M</v>
      </c>
      <c r="K377" s="4" cm="1">
        <f t="array" ref="K377">INDEX(products!$B$2:$E$49,MATCH($D377,products!$A$2:$A$49,0),COLUMN(C376))</f>
        <v>0.2</v>
      </c>
      <c r="L377" s="5" cm="1">
        <f t="array" ref="L377">INDEX(products!$B$2:$E$49,MATCH($D377,products!$A$2:$A$49,0),COLUMN(D376))</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f>
        <v>Judd De Leek</v>
      </c>
      <c r="G378" s="2" t="str">
        <f>IF(_xlfn.XLOOKUP(C378,customers!$A$1:$A$1001,customers!$C$1:$C$1001,,0)=0,"",(_xlfn.XLOOKUP(C378,customers!$A$1:$A$1001,customers!$C$1:$C$1001,,0)))</f>
        <v>jdeag@xrea.com</v>
      </c>
      <c r="H378" s="2" t="str">
        <f>_xlfn.XLOOKUP(C378,customers!$A$1:$A$1001,customers!$G$1:$G$1001,,0)</f>
        <v>United States</v>
      </c>
      <c r="I378" t="str">
        <f>INDEX(products!$A$1:$G$49,MATCH($D378,products!$A$1:$A$49,0),MATCH(I$1,products!$A$1:$G$1,0))</f>
        <v>Rob</v>
      </c>
      <c r="J378" t="str" cm="1">
        <f t="array" ref="J378">INDEX(products!$B$2:$E$49,MATCH($D378,products!$A$2:$A$49,0),COLUMN(B377))</f>
        <v>M</v>
      </c>
      <c r="K378" s="4" cm="1">
        <f t="array" ref="K378">INDEX(products!$B$2:$E$49,MATCH($D378,products!$A$2:$A$49,0),COLUMN(C377))</f>
        <v>0.5</v>
      </c>
      <c r="L378" s="5" cm="1">
        <f t="array" ref="L378">INDEX(products!$B$2:$E$49,MATCH($D378,products!$A$2:$A$49,0),COLUMN(D377))</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INDEX(products!$A$1:$G$49,MATCH($D379,products!$A$1:$A$49,0),MATCH(I$1,products!$A$1:$G$1,0))</f>
        <v>Rob</v>
      </c>
      <c r="J379" t="str" cm="1">
        <f t="array" ref="J379">INDEX(products!$B$2:$E$49,MATCH($D379,products!$A$2:$A$49,0),COLUMN(B378))</f>
        <v>D</v>
      </c>
      <c r="K379" s="4" cm="1">
        <f t="array" ref="K379">INDEX(products!$B$2:$E$49,MATCH($D379,products!$A$2:$A$49,0),COLUMN(C378))</f>
        <v>0.2</v>
      </c>
      <c r="L379" s="5" cm="1">
        <f t="array" ref="L379">INDEX(products!$B$2:$E$49,MATCH($D379,products!$A$2:$A$49,0),COLUMN(D378))</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INDEX(products!$A$1:$G$49,MATCH($D380,products!$A$1:$A$49,0),MATCH(I$1,products!$A$1:$G$1,0))</f>
        <v>Ara</v>
      </c>
      <c r="J380" t="str" cm="1">
        <f t="array" ref="J380">INDEX(products!$B$2:$E$49,MATCH($D380,products!$A$2:$A$49,0),COLUMN(B379))</f>
        <v>L</v>
      </c>
      <c r="K380" s="4" cm="1">
        <f t="array" ref="K380">INDEX(products!$B$2:$E$49,MATCH($D380,products!$A$2:$A$49,0),COLUMN(C379))</f>
        <v>0.5</v>
      </c>
      <c r="L380" s="5" cm="1">
        <f t="array" ref="L380">INDEX(products!$B$2:$E$49,MATCH($D380,products!$A$2:$A$49,0),COLUMN(D379))</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INDEX(products!$A$1:$G$49,MATCH($D381,products!$A$1:$A$49,0),MATCH(I$1,products!$A$1:$G$1,0))</f>
        <v>Rob</v>
      </c>
      <c r="J381" t="str" cm="1">
        <f t="array" ref="J381">INDEX(products!$B$2:$E$49,MATCH($D381,products!$A$2:$A$49,0),COLUMN(B380))</f>
        <v>L</v>
      </c>
      <c r="K381" s="4" cm="1">
        <f t="array" ref="K381">INDEX(products!$B$2:$E$49,MATCH($D381,products!$A$2:$A$49,0),COLUMN(C380))</f>
        <v>0.5</v>
      </c>
      <c r="L381" s="5" cm="1">
        <f t="array" ref="L381">INDEX(products!$B$2:$E$49,MATCH($D381,products!$A$2:$A$49,0),COLUMN(D380))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f>
        <v>Flynn Antony</v>
      </c>
      <c r="G382" s="2" t="str">
        <f>IF(_xlfn.XLOOKUP(C382,customers!$A$1:$A$1001,customers!$C$1:$C$1001,,0)=0,"",(_xlfn.XLOOKUP(C382,customers!$A$1:$A$1001,customers!$C$1:$C$1001,,0)))</f>
        <v/>
      </c>
      <c r="H382" s="2" t="str">
        <f>_xlfn.XLOOKUP(C382,customers!$A$1:$A$1001,customers!$G$1:$G$1001,,0)</f>
        <v>United States</v>
      </c>
      <c r="I382" t="str">
        <f>INDEX(products!$A$1:$G$49,MATCH($D382,products!$A$1:$A$49,0),MATCH(I$1,products!$A$1:$G$1,0))</f>
        <v>Lib</v>
      </c>
      <c r="J382" t="str" cm="1">
        <f t="array" ref="J382">INDEX(products!$B$2:$E$49,MATCH($D382,products!$A$2:$A$49,0),COLUMN(B381))</f>
        <v>D</v>
      </c>
      <c r="K382" s="4" cm="1">
        <f t="array" ref="K382">INDEX(products!$B$2:$E$49,MATCH($D382,products!$A$2:$A$49,0),COLUMN(C381))</f>
        <v>0.5</v>
      </c>
      <c r="L382" s="5" cm="1">
        <f t="array" ref="L382">INDEX(products!$B$2:$E$49,MATCH($D382,products!$A$2:$A$49,0),COLUMN(D381))</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f>
        <v>Pren Bess</v>
      </c>
      <c r="G383" s="2" t="str">
        <f>IF(_xlfn.XLOOKUP(C383,customers!$A$1:$A$1001,customers!$C$1:$C$1001,,0)=0,"",(_xlfn.XLOOKUP(C383,customers!$A$1:$A$1001,customers!$C$1:$C$1001,,0)))</f>
        <v>pbessal@qq.com</v>
      </c>
      <c r="H383" s="2" t="str">
        <f>_xlfn.XLOOKUP(C383,customers!$A$1:$A$1001,customers!$G$1:$G$1001,,0)</f>
        <v>United States</v>
      </c>
      <c r="I383" t="str">
        <f>INDEX(products!$A$1:$G$49,MATCH($D383,products!$A$1:$A$49,0),MATCH(I$1,products!$A$1:$G$1,0))</f>
        <v>Ara</v>
      </c>
      <c r="J383" t="str" cm="1">
        <f t="array" ref="J383">INDEX(products!$B$2:$E$49,MATCH($D383,products!$A$2:$A$49,0),COLUMN(B382))</f>
        <v>D</v>
      </c>
      <c r="K383" s="4" cm="1">
        <f t="array" ref="K383">INDEX(products!$B$2:$E$49,MATCH($D383,products!$A$2:$A$49,0),COLUMN(C382))</f>
        <v>0.2</v>
      </c>
      <c r="L383" s="5" cm="1">
        <f t="array" ref="L383">INDEX(products!$B$2:$E$49,MATCH($D383,products!$A$2:$A$49,0),COLUMN(D382))</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INDEX(products!$A$1:$G$49,MATCH($D384,products!$A$1:$A$49,0),MATCH(I$1,products!$A$1:$G$1,0))</f>
        <v>Exc</v>
      </c>
      <c r="J384" t="str" cm="1">
        <f t="array" ref="J384">INDEX(products!$B$2:$E$49,MATCH($D384,products!$A$2:$A$49,0),COLUMN(B383))</f>
        <v>D</v>
      </c>
      <c r="K384" s="4" cm="1">
        <f t="array" ref="K384">INDEX(products!$B$2:$E$49,MATCH($D384,products!$A$2:$A$49,0),COLUMN(C383))</f>
        <v>0.5</v>
      </c>
      <c r="L384" s="5" cm="1">
        <f t="array" ref="L384">INDEX(products!$B$2:$E$49,MATCH($D384,products!$A$2:$A$49,0),COLUMN(D383))</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f>
        <v>Marty Kidstoun</v>
      </c>
      <c r="G385" s="2" t="str">
        <f>IF(_xlfn.XLOOKUP(C385,customers!$A$1:$A$1001,customers!$C$1:$C$1001,,0)=0,"",(_xlfn.XLOOKUP(C385,customers!$A$1:$A$1001,customers!$C$1:$C$1001,,0)))</f>
        <v/>
      </c>
      <c r="H385" s="2" t="str">
        <f>_xlfn.XLOOKUP(C385,customers!$A$1:$A$1001,customers!$G$1:$G$1001,,0)</f>
        <v>United States</v>
      </c>
      <c r="I385" t="str">
        <f>INDEX(products!$A$1:$G$49,MATCH($D385,products!$A$1:$A$49,0),MATCH(I$1,products!$A$1:$G$1,0))</f>
        <v>Exc</v>
      </c>
      <c r="J385" t="str" cm="1">
        <f t="array" ref="J385">INDEX(products!$B$2:$E$49,MATCH($D385,products!$A$2:$A$49,0),COLUMN(B384))</f>
        <v>L</v>
      </c>
      <c r="K385" s="4" cm="1">
        <f t="array" ref="K385">INDEX(products!$B$2:$E$49,MATCH($D385,products!$A$2:$A$49,0),COLUMN(C384))</f>
        <v>0.5</v>
      </c>
      <c r="L385" s="5" cm="1">
        <f t="array" ref="L385">INDEX(products!$B$2:$E$49,MATCH($D385,products!$A$2:$A$49,0),COLUMN(D384))</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f>
        <v>Nickey Dimbleby</v>
      </c>
      <c r="G386" s="2" t="str">
        <f>IF(_xlfn.XLOOKUP(C386,customers!$A$1:$A$1001,customers!$C$1:$C$1001,,0)=0,"",(_xlfn.XLOOKUP(C386,customers!$A$1:$A$1001,customers!$C$1:$C$1001,,0)))</f>
        <v/>
      </c>
      <c r="H386" s="2" t="str">
        <f>_xlfn.XLOOKUP(C386,customers!$A$1:$A$1001,customers!$G$1:$G$1001,,0)</f>
        <v>United States</v>
      </c>
      <c r="I386" t="str">
        <f>INDEX(products!$A$1:$G$49,MATCH($D386,products!$A$1:$A$49,0),MATCH(I$1,products!$A$1:$G$1,0))</f>
        <v>Ara</v>
      </c>
      <c r="J386" t="str" cm="1">
        <f t="array" ref="J386">INDEX(products!$B$2:$E$49,MATCH($D386,products!$A$2:$A$49,0),COLUMN(B385))</f>
        <v>L</v>
      </c>
      <c r="K386" s="4" cm="1">
        <f t="array" ref="K386">INDEX(products!$B$2:$E$49,MATCH($D386,products!$A$2:$A$49,0),COLUMN(C385))</f>
        <v>2.5</v>
      </c>
      <c r="L386" s="5" cm="1">
        <f t="array" ref="L386">INDEX(products!$B$2:$E$49,MATCH($D386,products!$A$2:$A$49,0),COLUMN(D385))</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INDEX(products!$A$1:$G$49,MATCH($D387,products!$A$1:$A$49,0),MATCH(I$1,products!$A$1:$G$1,0))</f>
        <v>Lib</v>
      </c>
      <c r="J387" t="str" cm="1">
        <f t="array" ref="J387">INDEX(products!$B$2:$E$49,MATCH($D387,products!$A$2:$A$49,0),COLUMN(B386))</f>
        <v>M</v>
      </c>
      <c r="K387" s="4" cm="1">
        <f t="array" ref="K387">INDEX(products!$B$2:$E$49,MATCH($D387,products!$A$2:$A$49,0),COLUMN(C386))</f>
        <v>0.5</v>
      </c>
      <c r="L387" s="5" cm="1">
        <f t="array" ref="L387">INDEX(products!$B$2:$E$49,MATCH($D387,products!$A$2:$A$49,0),COLUMN(D386))</f>
        <v>8.73</v>
      </c>
      <c r="M387" s="5">
        <f t="shared" ref="M387:M450" si="18">E387*L387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f>
        <v>Lenore Messenbird</v>
      </c>
      <c r="G388" s="2" t="str">
        <f>IF(_xlfn.XLOOKUP(C388,customers!$A$1:$A$1001,customers!$C$1:$C$1001,,0)=0,"",(_xlfn.XLOOKUP(C388,customers!$A$1:$A$1001,customers!$C$1:$C$1001,,0)))</f>
        <v/>
      </c>
      <c r="H388" s="2" t="str">
        <f>_xlfn.XLOOKUP(C388,customers!$A$1:$A$1001,customers!$G$1:$G$1001,,0)</f>
        <v>United States</v>
      </c>
      <c r="I388" t="str">
        <f>INDEX(products!$A$1:$G$49,MATCH($D388,products!$A$1:$A$49,0),MATCH(I$1,products!$A$1:$G$1,0))</f>
        <v>Ara</v>
      </c>
      <c r="J388" t="str" cm="1">
        <f t="array" ref="J388">INDEX(products!$B$2:$E$49,MATCH($D388,products!$A$2:$A$49,0),COLUMN(B387))</f>
        <v>D</v>
      </c>
      <c r="K388" s="4" cm="1">
        <f t="array" ref="K388">INDEX(products!$B$2:$E$49,MATCH($D388,products!$A$2:$A$49,0),COLUMN(C387))</f>
        <v>0.2</v>
      </c>
      <c r="L388" s="5" cm="1">
        <f t="array" ref="L388">INDEX(products!$B$2:$E$49,MATCH($D388,products!$A$2:$A$49,0),COLUMN(D387))</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INDEX(products!$A$1:$G$49,MATCH($D389,products!$A$1:$A$49,0),MATCH(I$1,products!$A$1:$G$1,0))</f>
        <v>Exc</v>
      </c>
      <c r="J389" t="str" cm="1">
        <f t="array" ref="J389">INDEX(products!$B$2:$E$49,MATCH($D389,products!$A$2:$A$49,0),COLUMN(B388))</f>
        <v>L</v>
      </c>
      <c r="K389" s="4" cm="1">
        <f t="array" ref="K389">INDEX(products!$B$2:$E$49,MATCH($D389,products!$A$2:$A$49,0),COLUMN(C388))</f>
        <v>1</v>
      </c>
      <c r="L389" s="5" cm="1">
        <f t="array" ref="L389">INDEX(products!$B$2:$E$49,MATCH($D389,products!$A$2:$A$49,0),COLUMN(D388))</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INDEX(products!$A$1:$G$49,MATCH($D390,products!$A$1:$A$49,0),MATCH(I$1,products!$A$1:$G$1,0))</f>
        <v>Lib</v>
      </c>
      <c r="J390" t="str" cm="1">
        <f t="array" ref="J390">INDEX(products!$B$2:$E$49,MATCH($D390,products!$A$2:$A$49,0),COLUMN(B389))</f>
        <v>D</v>
      </c>
      <c r="K390" s="4" cm="1">
        <f t="array" ref="K390">INDEX(products!$B$2:$E$49,MATCH($D390,products!$A$2:$A$49,0),COLUMN(C389))</f>
        <v>0.2</v>
      </c>
      <c r="L390" s="5" cm="1">
        <f t="array" ref="L390">INDEX(products!$B$2:$E$49,MATCH($D390,products!$A$2:$A$49,0),COLUMN(D389))</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INDEX(products!$A$1:$G$49,MATCH($D391,products!$A$1:$A$49,0),MATCH(I$1,products!$A$1:$G$1,0))</f>
        <v>Lib</v>
      </c>
      <c r="J391" t="str" cm="1">
        <f t="array" ref="J391">INDEX(products!$B$2:$E$49,MATCH($D391,products!$A$2:$A$49,0),COLUMN(B390))</f>
        <v>D</v>
      </c>
      <c r="K391" s="4" cm="1">
        <f t="array" ref="K391">INDEX(products!$B$2:$E$49,MATCH($D391,products!$A$2:$A$49,0),COLUMN(C390))</f>
        <v>0.5</v>
      </c>
      <c r="L391" s="5" cm="1">
        <f t="array" ref="L391">INDEX(products!$B$2:$E$49,MATCH($D391,products!$A$2:$A$49,0),COLUMN(D390))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INDEX(products!$A$1:$G$49,MATCH($D392,products!$A$1:$A$49,0),MATCH(I$1,products!$A$1:$G$1,0))</f>
        <v>Exc</v>
      </c>
      <c r="J392" t="str" cm="1">
        <f t="array" ref="J392">INDEX(products!$B$2:$E$49,MATCH($D392,products!$A$2:$A$49,0),COLUMN(B391))</f>
        <v>D</v>
      </c>
      <c r="K392" s="4" cm="1">
        <f t="array" ref="K392">INDEX(products!$B$2:$E$49,MATCH($D392,products!$A$2:$A$49,0),COLUMN(C391))</f>
        <v>0.5</v>
      </c>
      <c r="L392" s="5" cm="1">
        <f t="array" ref="L392">INDEX(products!$B$2:$E$49,MATCH($D392,products!$A$2:$A$49,0),COLUMN(D391))</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INDEX(products!$A$1:$G$49,MATCH($D393,products!$A$1:$A$49,0),MATCH(I$1,products!$A$1:$G$1,0))</f>
        <v>Ara</v>
      </c>
      <c r="J393" t="str" cm="1">
        <f t="array" ref="J393">INDEX(products!$B$2:$E$49,MATCH($D393,products!$A$2:$A$49,0),COLUMN(B392))</f>
        <v>M</v>
      </c>
      <c r="K393" s="4" cm="1">
        <f t="array" ref="K393">INDEX(products!$B$2:$E$49,MATCH($D393,products!$A$2:$A$49,0),COLUMN(C392))</f>
        <v>0.5</v>
      </c>
      <c r="L393" s="5" cm="1">
        <f t="array" ref="L393">INDEX(products!$B$2:$E$49,MATCH($D393,products!$A$2:$A$49,0),COLUMN(D392))</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INDEX(products!$A$1:$G$49,MATCH($D394,products!$A$1:$A$49,0),MATCH(I$1,products!$A$1:$G$1,0))</f>
        <v>Exc</v>
      </c>
      <c r="J394" t="str" cm="1">
        <f t="array" ref="J394">INDEX(products!$B$2:$E$49,MATCH($D394,products!$A$2:$A$49,0),COLUMN(B393))</f>
        <v>L</v>
      </c>
      <c r="K394" s="4" cm="1">
        <f t="array" ref="K394">INDEX(products!$B$2:$E$49,MATCH($D394,products!$A$2:$A$49,0),COLUMN(C393))</f>
        <v>1</v>
      </c>
      <c r="L394" s="5" cm="1">
        <f t="array" ref="L394">INDEX(products!$B$2:$E$49,MATCH($D394,products!$A$2:$A$49,0),COLUMN(D393))</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INDEX(products!$A$1:$G$49,MATCH($D395,products!$A$1:$A$49,0),MATCH(I$1,products!$A$1:$G$1,0))</f>
        <v>Ara</v>
      </c>
      <c r="J395" t="str" cm="1">
        <f t="array" ref="J395">INDEX(products!$B$2:$E$49,MATCH($D395,products!$A$2:$A$49,0),COLUMN(B394))</f>
        <v>L</v>
      </c>
      <c r="K395" s="4" cm="1">
        <f t="array" ref="K395">INDEX(products!$B$2:$E$49,MATCH($D395,products!$A$2:$A$49,0),COLUMN(C394))</f>
        <v>0.2</v>
      </c>
      <c r="L395" s="5" cm="1">
        <f t="array" ref="L395">INDEX(products!$B$2:$E$49,MATCH($D395,products!$A$2:$A$49,0),COLUMN(D394))</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INDEX(products!$A$1:$G$49,MATCH($D396,products!$A$1:$A$49,0),MATCH(I$1,products!$A$1:$G$1,0))</f>
        <v>Rob</v>
      </c>
      <c r="J396" t="str" cm="1">
        <f t="array" ref="J396">INDEX(products!$B$2:$E$49,MATCH($D396,products!$A$2:$A$49,0),COLUMN(B395))</f>
        <v>L</v>
      </c>
      <c r="K396" s="4" cm="1">
        <f t="array" ref="K396">INDEX(products!$B$2:$E$49,MATCH($D396,products!$A$2:$A$49,0),COLUMN(C395))</f>
        <v>2.5</v>
      </c>
      <c r="L396" s="5" cm="1">
        <f t="array" ref="L396">INDEX(products!$B$2:$E$49,MATCH($D396,products!$A$2:$A$49,0),COLUMN(D395))</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INDEX(products!$A$1:$G$49,MATCH($D397,products!$A$1:$A$49,0),MATCH(I$1,products!$A$1:$G$1,0))</f>
        <v>Lib</v>
      </c>
      <c r="J397" t="str" cm="1">
        <f t="array" ref="J397">INDEX(products!$B$2:$E$49,MATCH($D397,products!$A$2:$A$49,0),COLUMN(B396))</f>
        <v>D</v>
      </c>
      <c r="K397" s="4" cm="1">
        <f t="array" ref="K397">INDEX(products!$B$2:$E$49,MATCH($D397,products!$A$2:$A$49,0),COLUMN(C396))</f>
        <v>0.5</v>
      </c>
      <c r="L397" s="5" cm="1">
        <f t="array" ref="L397">INDEX(products!$B$2:$E$49,MATCH($D397,products!$A$2:$A$49,0),COLUMN(D396))</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INDEX(products!$A$1:$G$49,MATCH($D398,products!$A$1:$A$49,0),MATCH(I$1,products!$A$1:$G$1,0))</f>
        <v>Ara</v>
      </c>
      <c r="J398" t="str" cm="1">
        <f t="array" ref="J398">INDEX(products!$B$2:$E$49,MATCH($D398,products!$A$2:$A$49,0),COLUMN(B397))</f>
        <v>L</v>
      </c>
      <c r="K398" s="4" cm="1">
        <f t="array" ref="K398">INDEX(products!$B$2:$E$49,MATCH($D398,products!$A$2:$A$49,0),COLUMN(C397))</f>
        <v>0.5</v>
      </c>
      <c r="L398" s="5" cm="1">
        <f t="array" ref="L398">INDEX(products!$B$2:$E$49,MATCH($D398,products!$A$2:$A$49,0),COLUMN(D397))</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INDEX(products!$A$1:$G$49,MATCH($D399,products!$A$1:$A$49,0),MATCH(I$1,products!$A$1:$G$1,0))</f>
        <v>Lib</v>
      </c>
      <c r="J399" t="str" cm="1">
        <f t="array" ref="J399">INDEX(products!$B$2:$E$49,MATCH($D399,products!$A$2:$A$49,0),COLUMN(B398))</f>
        <v>D</v>
      </c>
      <c r="K399" s="4" cm="1">
        <f t="array" ref="K399">INDEX(products!$B$2:$E$49,MATCH($D399,products!$A$2:$A$49,0),COLUMN(C398))</f>
        <v>0.5</v>
      </c>
      <c r="L399" s="5" cm="1">
        <f t="array" ref="L399">INDEX(products!$B$2:$E$49,MATCH($D399,products!$A$2:$A$49,0),COLUMN(D398))</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INDEX(products!$A$1:$G$49,MATCH($D400,products!$A$1:$A$49,0),MATCH(I$1,products!$A$1:$G$1,0))</f>
        <v>Ara</v>
      </c>
      <c r="J400" t="str" cm="1">
        <f t="array" ref="J400">INDEX(products!$B$2:$E$49,MATCH($D400,products!$A$2:$A$49,0),COLUMN(B399))</f>
        <v>D</v>
      </c>
      <c r="K400" s="4" cm="1">
        <f t="array" ref="K400">INDEX(products!$B$2:$E$49,MATCH($D400,products!$A$2:$A$49,0),COLUMN(C399))</f>
        <v>0.2</v>
      </c>
      <c r="L400" s="5" cm="1">
        <f t="array" ref="L400">INDEX(products!$B$2:$E$49,MATCH($D400,products!$A$2:$A$49,0),COLUMN(D399))</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INDEX(products!$A$1:$G$49,MATCH($D401,products!$A$1:$A$49,0),MATCH(I$1,products!$A$1:$G$1,0))</f>
        <v>Exc</v>
      </c>
      <c r="J401" t="str" cm="1">
        <f t="array" ref="J401">INDEX(products!$B$2:$E$49,MATCH($D401,products!$A$2:$A$49,0),COLUMN(B400))</f>
        <v>D</v>
      </c>
      <c r="K401" s="4" cm="1">
        <f t="array" ref="K401">INDEX(products!$B$2:$E$49,MATCH($D401,products!$A$2:$A$49,0),COLUMN(C400))</f>
        <v>2.5</v>
      </c>
      <c r="L401" s="5" cm="1">
        <f t="array" ref="L401">INDEX(products!$B$2:$E$49,MATCH($D401,products!$A$2:$A$49,0),COLUMN(D400))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INDEX(products!$A$1:$G$49,MATCH($D402,products!$A$1:$A$49,0),MATCH(I$1,products!$A$1:$G$1,0))</f>
        <v>Lib</v>
      </c>
      <c r="J402" t="str" cm="1">
        <f t="array" ref="J402">INDEX(products!$B$2:$E$49,MATCH($D402,products!$A$2:$A$49,0),COLUMN(B401))</f>
        <v>L</v>
      </c>
      <c r="K402" s="4" cm="1">
        <f t="array" ref="K402">INDEX(products!$B$2:$E$49,MATCH($D402,products!$A$2:$A$49,0),COLUMN(C401))</f>
        <v>1</v>
      </c>
      <c r="L402" s="5" cm="1">
        <f t="array" ref="L402">INDEX(products!$B$2:$E$49,MATCH($D402,products!$A$2:$A$49,0),COLUMN(D401))</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INDEX(products!$A$1:$G$49,MATCH($D403,products!$A$1:$A$49,0),MATCH(I$1,products!$A$1:$G$1,0))</f>
        <v>Lib</v>
      </c>
      <c r="J403" t="str" cm="1">
        <f t="array" ref="J403">INDEX(products!$B$2:$E$49,MATCH($D403,products!$A$2:$A$49,0),COLUMN(B402))</f>
        <v>M</v>
      </c>
      <c r="K403" s="4" cm="1">
        <f t="array" ref="K403">INDEX(products!$B$2:$E$49,MATCH($D403,products!$A$2:$A$49,0),COLUMN(C402))</f>
        <v>0.2</v>
      </c>
      <c r="L403" s="5" cm="1">
        <f t="array" ref="L403">INDEX(products!$B$2:$E$49,MATCH($D403,products!$A$2:$A$49,0),COLUMN(D402))</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INDEX(products!$A$1:$G$49,MATCH($D404,products!$A$1:$A$49,0),MATCH(I$1,products!$A$1:$G$1,0))</f>
        <v>Rob</v>
      </c>
      <c r="J404" t="str" cm="1">
        <f t="array" ref="J404">INDEX(products!$B$2:$E$49,MATCH($D404,products!$A$2:$A$49,0),COLUMN(B403))</f>
        <v>D</v>
      </c>
      <c r="K404" s="4" cm="1">
        <f t="array" ref="K404">INDEX(products!$B$2:$E$49,MATCH($D404,products!$A$2:$A$49,0),COLUMN(C403))</f>
        <v>1</v>
      </c>
      <c r="L404" s="5" cm="1">
        <f t="array" ref="L404">INDEX(products!$B$2:$E$49,MATCH($D404,products!$A$2:$A$49,0),COLUMN(D403))</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INDEX(products!$A$1:$G$49,MATCH($D405,products!$A$1:$A$49,0),MATCH(I$1,products!$A$1:$G$1,0))</f>
        <v>Lib</v>
      </c>
      <c r="J405" t="str" cm="1">
        <f t="array" ref="J405">INDEX(products!$B$2:$E$49,MATCH($D405,products!$A$2:$A$49,0),COLUMN(B404))</f>
        <v>L</v>
      </c>
      <c r="K405" s="4" cm="1">
        <f t="array" ref="K405">INDEX(products!$B$2:$E$49,MATCH($D405,products!$A$2:$A$49,0),COLUMN(C404))</f>
        <v>0.2</v>
      </c>
      <c r="L405" s="5" cm="1">
        <f t="array" ref="L405">INDEX(products!$B$2:$E$49,MATCH($D405,products!$A$2:$A$49,0),COLUMN(D404))</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f>
        <v>Tania Craggs</v>
      </c>
      <c r="G406" s="2" t="str">
        <f>IF(_xlfn.XLOOKUP(C406,customers!$A$1:$A$1001,customers!$C$1:$C$1001,,0)=0,"",(_xlfn.XLOOKUP(C406,customers!$A$1:$A$1001,customers!$C$1:$C$1001,,0)))</f>
        <v>tcraggsb8@house.gov</v>
      </c>
      <c r="H406" s="2" t="str">
        <f>_xlfn.XLOOKUP(C406,customers!$A$1:$A$1001,customers!$G$1:$G$1001,,0)</f>
        <v>Ireland</v>
      </c>
      <c r="I406" t="str">
        <f>INDEX(products!$A$1:$G$49,MATCH($D406,products!$A$1:$A$49,0),MATCH(I$1,products!$A$1:$G$1,0))</f>
        <v>Ara</v>
      </c>
      <c r="J406" t="str" cm="1">
        <f t="array" ref="J406">INDEX(products!$B$2:$E$49,MATCH($D406,products!$A$2:$A$49,0),COLUMN(B405))</f>
        <v>D</v>
      </c>
      <c r="K406" s="4" cm="1">
        <f t="array" ref="K406">INDEX(products!$B$2:$E$49,MATCH($D406,products!$A$2:$A$49,0),COLUMN(C405))</f>
        <v>1</v>
      </c>
      <c r="L406" s="5" cm="1">
        <f t="array" ref="L406">INDEX(products!$B$2:$E$49,MATCH($D406,products!$A$2:$A$49,0),COLUMN(D405))</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INDEX(products!$A$1:$G$49,MATCH($D407,products!$A$1:$A$49,0),MATCH(I$1,products!$A$1:$G$1,0))</f>
        <v>Exc</v>
      </c>
      <c r="J407" t="str" cm="1">
        <f t="array" ref="J407">INDEX(products!$B$2:$E$49,MATCH($D407,products!$A$2:$A$49,0),COLUMN(B406))</f>
        <v>M</v>
      </c>
      <c r="K407" s="4" cm="1">
        <f t="array" ref="K407">INDEX(products!$B$2:$E$49,MATCH($D407,products!$A$2:$A$49,0),COLUMN(C406))</f>
        <v>0.5</v>
      </c>
      <c r="L407" s="5" cm="1">
        <f t="array" ref="L407">INDEX(products!$B$2:$E$49,MATCH($D407,products!$A$2:$A$49,0),COLUMN(D406))</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INDEX(products!$A$1:$G$49,MATCH($D408,products!$A$1:$A$49,0),MATCH(I$1,products!$A$1:$G$1,0))</f>
        <v>Exc</v>
      </c>
      <c r="J408" t="str" cm="1">
        <f t="array" ref="J408">INDEX(products!$B$2:$E$49,MATCH($D408,products!$A$2:$A$49,0),COLUMN(B407))</f>
        <v>M</v>
      </c>
      <c r="K408" s="4" cm="1">
        <f t="array" ref="K408">INDEX(products!$B$2:$E$49,MATCH($D408,products!$A$2:$A$49,0),COLUMN(C407))</f>
        <v>1</v>
      </c>
      <c r="L408" s="5" cm="1">
        <f t="array" ref="L408">INDEX(products!$B$2:$E$49,MATCH($D408,products!$A$2:$A$49,0),COLUMN(D407))</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f>
        <v>Lorin Guerrazzi</v>
      </c>
      <c r="G409" s="2" t="str">
        <f>IF(_xlfn.XLOOKUP(C409,customers!$A$1:$A$1001,customers!$C$1:$C$1001,,0)=0,"",(_xlfn.XLOOKUP(C409,customers!$A$1:$A$1001,customers!$C$1:$C$1001,,0)))</f>
        <v/>
      </c>
      <c r="H409" s="2" t="str">
        <f>_xlfn.XLOOKUP(C409,customers!$A$1:$A$1001,customers!$G$1:$G$1001,,0)</f>
        <v>Ireland</v>
      </c>
      <c r="I409" t="str">
        <f>INDEX(products!$A$1:$G$49,MATCH($D409,products!$A$1:$A$49,0),MATCH(I$1,products!$A$1:$G$1,0))</f>
        <v>Exc</v>
      </c>
      <c r="J409" t="str" cm="1">
        <f t="array" ref="J409">INDEX(products!$B$2:$E$49,MATCH($D409,products!$A$2:$A$49,0),COLUMN(B408))</f>
        <v>M</v>
      </c>
      <c r="K409" s="4" cm="1">
        <f t="array" ref="K409">INDEX(products!$B$2:$E$49,MATCH($D409,products!$A$2:$A$49,0),COLUMN(C408))</f>
        <v>0.5</v>
      </c>
      <c r="L409" s="5" cm="1">
        <f t="array" ref="L409">INDEX(products!$B$2:$E$49,MATCH($D409,products!$A$2:$A$49,0),COLUMN(D408))</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INDEX(products!$A$1:$G$49,MATCH($D410,products!$A$1:$A$49,0),MATCH(I$1,products!$A$1:$G$1,0))</f>
        <v>Ara</v>
      </c>
      <c r="J410" t="str" cm="1">
        <f t="array" ref="J410">INDEX(products!$B$2:$E$49,MATCH($D410,products!$A$2:$A$49,0),COLUMN(B409))</f>
        <v>M</v>
      </c>
      <c r="K410" s="4" cm="1">
        <f t="array" ref="K410">INDEX(products!$B$2:$E$49,MATCH($D410,products!$A$2:$A$49,0),COLUMN(C409))</f>
        <v>2.5</v>
      </c>
      <c r="L410" s="5" cm="1">
        <f t="array" ref="L410">INDEX(products!$B$2:$E$49,MATCH($D410,products!$A$2:$A$49,0),COLUMN(D409))</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f>
        <v>Hamish Skeech</v>
      </c>
      <c r="G411" s="2" t="str">
        <f>IF(_xlfn.XLOOKUP(C411,customers!$A$1:$A$1001,customers!$C$1:$C$1001,,0)=0,"",(_xlfn.XLOOKUP(C411,customers!$A$1:$A$1001,customers!$C$1:$C$1001,,0)))</f>
        <v/>
      </c>
      <c r="H411" s="2" t="str">
        <f>_xlfn.XLOOKUP(C411,customers!$A$1:$A$1001,customers!$G$1:$G$1001,,0)</f>
        <v>Ireland</v>
      </c>
      <c r="I411" t="str">
        <f>INDEX(products!$A$1:$G$49,MATCH($D411,products!$A$1:$A$49,0),MATCH(I$1,products!$A$1:$G$1,0))</f>
        <v>Lib</v>
      </c>
      <c r="J411" t="str" cm="1">
        <f t="array" ref="J411">INDEX(products!$B$2:$E$49,MATCH($D411,products!$A$2:$A$49,0),COLUMN(B410))</f>
        <v>L</v>
      </c>
      <c r="K411" s="4" cm="1">
        <f t="array" ref="K411">INDEX(products!$B$2:$E$49,MATCH($D411,products!$A$2:$A$49,0),COLUMN(C410))</f>
        <v>1</v>
      </c>
      <c r="L411" s="5" cm="1">
        <f t="array" ref="L411">INDEX(products!$B$2:$E$49,MATCH($D411,products!$A$2:$A$49,0),COLUMN(D410))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f>
        <v>Giordano Lorenzin</v>
      </c>
      <c r="G412" s="2" t="str">
        <f>IF(_xlfn.XLOOKUP(C412,customers!$A$1:$A$1001,customers!$C$1:$C$1001,,0)=0,"",(_xlfn.XLOOKUP(C412,customers!$A$1:$A$1001,customers!$C$1:$C$1001,,0)))</f>
        <v/>
      </c>
      <c r="H412" s="2" t="str">
        <f>_xlfn.XLOOKUP(C412,customers!$A$1:$A$1001,customers!$G$1:$G$1001,,0)</f>
        <v>United States</v>
      </c>
      <c r="I412" t="str">
        <f>INDEX(products!$A$1:$G$49,MATCH($D412,products!$A$1:$A$49,0),MATCH(I$1,products!$A$1:$G$1,0))</f>
        <v>Ara</v>
      </c>
      <c r="J412" t="str" cm="1">
        <f t="array" ref="J412">INDEX(products!$B$2:$E$49,MATCH($D412,products!$A$2:$A$49,0),COLUMN(B411))</f>
        <v>L</v>
      </c>
      <c r="K412" s="4" cm="1">
        <f t="array" ref="K412">INDEX(products!$B$2:$E$49,MATCH($D412,products!$A$2:$A$49,0),COLUMN(C411))</f>
        <v>0.2</v>
      </c>
      <c r="L412" s="5" cm="1">
        <f t="array" ref="L412">INDEX(products!$B$2:$E$49,MATCH($D412,products!$A$2:$A$49,0),COLUMN(D411))</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f>
        <v>Harwilll Bishell</v>
      </c>
      <c r="G413" s="2" t="str">
        <f>IF(_xlfn.XLOOKUP(C413,customers!$A$1:$A$1001,customers!$C$1:$C$1001,,0)=0,"",(_xlfn.XLOOKUP(C413,customers!$A$1:$A$1001,customers!$C$1:$C$1001,,0)))</f>
        <v/>
      </c>
      <c r="H413" s="2" t="str">
        <f>_xlfn.XLOOKUP(C413,customers!$A$1:$A$1001,customers!$G$1:$G$1001,,0)</f>
        <v>United States</v>
      </c>
      <c r="I413" t="str">
        <f>INDEX(products!$A$1:$G$49,MATCH($D413,products!$A$1:$A$49,0),MATCH(I$1,products!$A$1:$G$1,0))</f>
        <v>Lib</v>
      </c>
      <c r="J413" t="str" cm="1">
        <f t="array" ref="J413">INDEX(products!$B$2:$E$49,MATCH($D413,products!$A$2:$A$49,0),COLUMN(B412))</f>
        <v>M</v>
      </c>
      <c r="K413" s="4" cm="1">
        <f t="array" ref="K413">INDEX(products!$B$2:$E$49,MATCH($D413,products!$A$2:$A$49,0),COLUMN(C412))</f>
        <v>1</v>
      </c>
      <c r="L413" s="5" cm="1">
        <f t="array" ref="L413">INDEX(products!$B$2:$E$49,MATCH($D413,products!$A$2:$A$49,0),COLUMN(D412))</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f>
        <v>Freeland Missenden</v>
      </c>
      <c r="G414" s="2" t="str">
        <f>IF(_xlfn.XLOOKUP(C414,customers!$A$1:$A$1001,customers!$C$1:$C$1001,,0)=0,"",(_xlfn.XLOOKUP(C414,customers!$A$1:$A$1001,customers!$C$1:$C$1001,,0)))</f>
        <v/>
      </c>
      <c r="H414" s="2" t="str">
        <f>_xlfn.XLOOKUP(C414,customers!$A$1:$A$1001,customers!$G$1:$G$1001,,0)</f>
        <v>United States</v>
      </c>
      <c r="I414" t="str">
        <f>INDEX(products!$A$1:$G$49,MATCH($D414,products!$A$1:$A$49,0),MATCH(I$1,products!$A$1:$G$1,0))</f>
        <v>Ara</v>
      </c>
      <c r="J414" t="str" cm="1">
        <f t="array" ref="J414">INDEX(products!$B$2:$E$49,MATCH($D414,products!$A$2:$A$49,0),COLUMN(B413))</f>
        <v>M</v>
      </c>
      <c r="K414" s="4" cm="1">
        <f t="array" ref="K414">INDEX(products!$B$2:$E$49,MATCH($D414,products!$A$2:$A$49,0),COLUMN(C413))</f>
        <v>1</v>
      </c>
      <c r="L414" s="5" cm="1">
        <f t="array" ref="L414">INDEX(products!$B$2:$E$49,MATCH($D414,products!$A$2:$A$49,0),COLUMN(D413))</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INDEX(products!$A$1:$G$49,MATCH($D415,products!$A$1:$A$49,0),MATCH(I$1,products!$A$1:$G$1,0))</f>
        <v>Lib</v>
      </c>
      <c r="J415" t="str" cm="1">
        <f t="array" ref="J415">INDEX(products!$B$2:$E$49,MATCH($D415,products!$A$2:$A$49,0),COLUMN(B414))</f>
        <v>L</v>
      </c>
      <c r="K415" s="4" cm="1">
        <f t="array" ref="K415">INDEX(products!$B$2:$E$49,MATCH($D415,products!$A$2:$A$49,0),COLUMN(C414))</f>
        <v>2.5</v>
      </c>
      <c r="L415" s="5" cm="1">
        <f t="array" ref="L415">INDEX(products!$B$2:$E$49,MATCH($D415,products!$A$2:$A$49,0),COLUMN(D414))</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f>
        <v>Kiri Avramow</v>
      </c>
      <c r="G416" s="2" t="str">
        <f>IF(_xlfn.XLOOKUP(C416,customers!$A$1:$A$1001,customers!$C$1:$C$1001,,0)=0,"",(_xlfn.XLOOKUP(C416,customers!$A$1:$A$1001,customers!$C$1:$C$1001,,0)))</f>
        <v/>
      </c>
      <c r="H416" s="2" t="str">
        <f>_xlfn.XLOOKUP(C416,customers!$A$1:$A$1001,customers!$G$1:$G$1001,,0)</f>
        <v>United States</v>
      </c>
      <c r="I416" t="str">
        <f>INDEX(products!$A$1:$G$49,MATCH($D416,products!$A$1:$A$49,0),MATCH(I$1,products!$A$1:$G$1,0))</f>
        <v>Rob</v>
      </c>
      <c r="J416" t="str" cm="1">
        <f t="array" ref="J416">INDEX(products!$B$2:$E$49,MATCH($D416,products!$A$2:$A$49,0),COLUMN(B415))</f>
        <v>L</v>
      </c>
      <c r="K416" s="4" cm="1">
        <f t="array" ref="K416">INDEX(products!$B$2:$E$49,MATCH($D416,products!$A$2:$A$49,0),COLUMN(C415))</f>
        <v>0.2</v>
      </c>
      <c r="L416" s="5" cm="1">
        <f t="array" ref="L416">INDEX(products!$B$2:$E$49,MATCH($D416,products!$A$2:$A$49,0),COLUMN(D415))</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INDEX(products!$A$1:$G$49,MATCH($D417,products!$A$1:$A$49,0),MATCH(I$1,products!$A$1:$G$1,0))</f>
        <v>Rob</v>
      </c>
      <c r="J417" t="str" cm="1">
        <f t="array" ref="J417">INDEX(products!$B$2:$E$49,MATCH($D417,products!$A$2:$A$49,0),COLUMN(B416))</f>
        <v>M</v>
      </c>
      <c r="K417" s="4" cm="1">
        <f t="array" ref="K417">INDEX(products!$B$2:$E$49,MATCH($D417,products!$A$2:$A$49,0),COLUMN(C416))</f>
        <v>0.2</v>
      </c>
      <c r="L417" s="5" cm="1">
        <f t="array" ref="L417">INDEX(products!$B$2:$E$49,MATCH($D417,products!$A$2:$A$49,0),COLUMN(D416))</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f>
        <v>Reggis Pracy</v>
      </c>
      <c r="G418" s="2" t="str">
        <f>IF(_xlfn.XLOOKUP(C418,customers!$A$1:$A$1001,customers!$C$1:$C$1001,,0)=0,"",(_xlfn.XLOOKUP(C418,customers!$A$1:$A$1001,customers!$C$1:$C$1001,,0)))</f>
        <v/>
      </c>
      <c r="H418" s="2" t="str">
        <f>_xlfn.XLOOKUP(C418,customers!$A$1:$A$1001,customers!$G$1:$G$1001,,0)</f>
        <v>United States</v>
      </c>
      <c r="I418" t="str">
        <f>INDEX(products!$A$1:$G$49,MATCH($D418,products!$A$1:$A$49,0),MATCH(I$1,products!$A$1:$G$1,0))</f>
        <v>Ara</v>
      </c>
      <c r="J418" t="str" cm="1">
        <f t="array" ref="J418">INDEX(products!$B$2:$E$49,MATCH($D418,products!$A$2:$A$49,0),COLUMN(B417))</f>
        <v>L</v>
      </c>
      <c r="K418" s="4" cm="1">
        <f t="array" ref="K418">INDEX(products!$B$2:$E$49,MATCH($D418,products!$A$2:$A$49,0),COLUMN(C417))</f>
        <v>0.5</v>
      </c>
      <c r="L418" s="5" cm="1">
        <f t="array" ref="L418">INDEX(products!$B$2:$E$49,MATCH($D418,products!$A$2:$A$49,0),COLUMN(D417))</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f>
        <v>Paula Denis</v>
      </c>
      <c r="G419" s="2" t="str">
        <f>IF(_xlfn.XLOOKUP(C419,customers!$A$1:$A$1001,customers!$C$1:$C$1001,,0)=0,"",(_xlfn.XLOOKUP(C419,customers!$A$1:$A$1001,customers!$C$1:$C$1001,,0)))</f>
        <v/>
      </c>
      <c r="H419" s="2" t="str">
        <f>_xlfn.XLOOKUP(C419,customers!$A$1:$A$1001,customers!$G$1:$G$1001,,0)</f>
        <v>United States</v>
      </c>
      <c r="I419" t="str">
        <f>INDEX(products!$A$1:$G$49,MATCH($D419,products!$A$1:$A$49,0),MATCH(I$1,products!$A$1:$G$1,0))</f>
        <v>Ara</v>
      </c>
      <c r="J419" t="str" cm="1">
        <f t="array" ref="J419">INDEX(products!$B$2:$E$49,MATCH($D419,products!$A$2:$A$49,0),COLUMN(B418))</f>
        <v>L</v>
      </c>
      <c r="K419" s="4" cm="1">
        <f t="array" ref="K419">INDEX(products!$B$2:$E$49,MATCH($D419,products!$A$2:$A$49,0),COLUMN(C418))</f>
        <v>2.5</v>
      </c>
      <c r="L419" s="5" cm="1">
        <f t="array" ref="L419">INDEX(products!$B$2:$E$49,MATCH($D419,products!$A$2:$A$49,0),COLUMN(D418))</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INDEX(products!$A$1:$G$49,MATCH($D420,products!$A$1:$A$49,0),MATCH(I$1,products!$A$1:$G$1,0))</f>
        <v>Ara</v>
      </c>
      <c r="J420" t="str" cm="1">
        <f t="array" ref="J420">INDEX(products!$B$2:$E$49,MATCH($D420,products!$A$2:$A$49,0),COLUMN(B419))</f>
        <v>L</v>
      </c>
      <c r="K420" s="4" cm="1">
        <f t="array" ref="K420">INDEX(products!$B$2:$E$49,MATCH($D420,products!$A$2:$A$49,0),COLUMN(C419))</f>
        <v>2.5</v>
      </c>
      <c r="L420" s="5" cm="1">
        <f t="array" ref="L420">INDEX(products!$B$2:$E$49,MATCH($D420,products!$A$2:$A$49,0),COLUMN(D419))</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INDEX(products!$A$1:$G$49,MATCH($D421,products!$A$1:$A$49,0),MATCH(I$1,products!$A$1:$G$1,0))</f>
        <v>Lib</v>
      </c>
      <c r="J421" t="str" cm="1">
        <f t="array" ref="J421">INDEX(products!$B$2:$E$49,MATCH($D421,products!$A$2:$A$49,0),COLUMN(B420))</f>
        <v>M</v>
      </c>
      <c r="K421" s="4" cm="1">
        <f t="array" ref="K421">INDEX(products!$B$2:$E$49,MATCH($D421,products!$A$2:$A$49,0),COLUMN(C420))</f>
        <v>0.5</v>
      </c>
      <c r="L421" s="5" cm="1">
        <f t="array" ref="L421">INDEX(products!$B$2:$E$49,MATCH($D421,products!$A$2:$A$49,0),COLUMN(D420))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INDEX(products!$A$1:$G$49,MATCH($D422,products!$A$1:$A$49,0),MATCH(I$1,products!$A$1:$G$1,0))</f>
        <v>Lib</v>
      </c>
      <c r="J422" t="str" cm="1">
        <f t="array" ref="J422">INDEX(products!$B$2:$E$49,MATCH($D422,products!$A$2:$A$49,0),COLUMN(B421))</f>
        <v>D</v>
      </c>
      <c r="K422" s="4" cm="1">
        <f t="array" ref="K422">INDEX(products!$B$2:$E$49,MATCH($D422,products!$A$2:$A$49,0),COLUMN(C421))</f>
        <v>0.5</v>
      </c>
      <c r="L422" s="5" cm="1">
        <f t="array" ref="L422">INDEX(products!$B$2:$E$49,MATCH($D422,products!$A$2:$A$49,0),COLUMN(D421))</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INDEX(products!$A$1:$G$49,MATCH($D423,products!$A$1:$A$49,0),MATCH(I$1,products!$A$1:$G$1,0))</f>
        <v>Ara</v>
      </c>
      <c r="J423" t="str" cm="1">
        <f t="array" ref="J423">INDEX(products!$B$2:$E$49,MATCH($D423,products!$A$2:$A$49,0),COLUMN(B422))</f>
        <v>D</v>
      </c>
      <c r="K423" s="4" cm="1">
        <f t="array" ref="K423">INDEX(products!$B$2:$E$49,MATCH($D423,products!$A$2:$A$49,0),COLUMN(C422))</f>
        <v>2.5</v>
      </c>
      <c r="L423" s="5" cm="1">
        <f t="array" ref="L423">INDEX(products!$B$2:$E$49,MATCH($D423,products!$A$2:$A$49,0),COLUMN(D422))</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f>
        <v>Nevins Glowacz</v>
      </c>
      <c r="G424" s="2" t="str">
        <f>IF(_xlfn.XLOOKUP(C424,customers!$A$1:$A$1001,customers!$C$1:$C$1001,,0)=0,"",(_xlfn.XLOOKUP(C424,customers!$A$1:$A$1001,customers!$C$1:$C$1001,,0)))</f>
        <v/>
      </c>
      <c r="H424" s="2" t="str">
        <f>_xlfn.XLOOKUP(C424,customers!$A$1:$A$1001,customers!$G$1:$G$1001,,0)</f>
        <v>United States</v>
      </c>
      <c r="I424" t="str">
        <f>INDEX(products!$A$1:$G$49,MATCH($D424,products!$A$1:$A$49,0),MATCH(I$1,products!$A$1:$G$1,0))</f>
        <v>Ara</v>
      </c>
      <c r="J424" t="str" cm="1">
        <f t="array" ref="J424">INDEX(products!$B$2:$E$49,MATCH($D424,products!$A$2:$A$49,0),COLUMN(B423))</f>
        <v>D</v>
      </c>
      <c r="K424" s="4" cm="1">
        <f t="array" ref="K424">INDEX(products!$B$2:$E$49,MATCH($D424,products!$A$2:$A$49,0),COLUMN(C423))</f>
        <v>0.5</v>
      </c>
      <c r="L424" s="5" cm="1">
        <f t="array" ref="L424">INDEX(products!$B$2:$E$49,MATCH($D424,products!$A$2:$A$49,0),COLUMN(D423))</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f>
        <v>Adelice Isabell</v>
      </c>
      <c r="G425" s="2" t="str">
        <f>IF(_xlfn.XLOOKUP(C425,customers!$A$1:$A$1001,customers!$C$1:$C$1001,,0)=0,"",(_xlfn.XLOOKUP(C425,customers!$A$1:$A$1001,customers!$C$1:$C$1001,,0)))</f>
        <v/>
      </c>
      <c r="H425" s="2" t="str">
        <f>_xlfn.XLOOKUP(C425,customers!$A$1:$A$1001,customers!$G$1:$G$1001,,0)</f>
        <v>United States</v>
      </c>
      <c r="I425" t="str">
        <f>INDEX(products!$A$1:$G$49,MATCH($D425,products!$A$1:$A$49,0),MATCH(I$1,products!$A$1:$G$1,0))</f>
        <v>Rob</v>
      </c>
      <c r="J425" t="str" cm="1">
        <f t="array" ref="J425">INDEX(products!$B$2:$E$49,MATCH($D425,products!$A$2:$A$49,0),COLUMN(B424))</f>
        <v>M</v>
      </c>
      <c r="K425" s="4" cm="1">
        <f t="array" ref="K425">INDEX(products!$B$2:$E$49,MATCH($D425,products!$A$2:$A$49,0),COLUMN(C424))</f>
        <v>0.5</v>
      </c>
      <c r="L425" s="5" cm="1">
        <f t="array" ref="L425">INDEX(products!$B$2:$E$49,MATCH($D425,products!$A$2:$A$49,0),COLUMN(D424))</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INDEX(products!$A$1:$G$49,MATCH($D426,products!$A$1:$A$49,0),MATCH(I$1,products!$A$1:$G$1,0))</f>
        <v>Exc</v>
      </c>
      <c r="J426" t="str" cm="1">
        <f t="array" ref="J426">INDEX(products!$B$2:$E$49,MATCH($D426,products!$A$2:$A$49,0),COLUMN(B425))</f>
        <v>L</v>
      </c>
      <c r="K426" s="4" cm="1">
        <f t="array" ref="K426">INDEX(products!$B$2:$E$49,MATCH($D426,products!$A$2:$A$49,0),COLUMN(C425))</f>
        <v>0.5</v>
      </c>
      <c r="L426" s="5" cm="1">
        <f t="array" ref="L426">INDEX(products!$B$2:$E$49,MATCH($D426,products!$A$2:$A$49,0),COLUMN(D425))</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f>
        <v>Alric Darth</v>
      </c>
      <c r="G427" s="2" t="str">
        <f>IF(_xlfn.XLOOKUP(C427,customers!$A$1:$A$1001,customers!$C$1:$C$1001,,0)=0,"",(_xlfn.XLOOKUP(C427,customers!$A$1:$A$1001,customers!$C$1:$C$1001,,0)))</f>
        <v>adarthbt@t.co</v>
      </c>
      <c r="H427" s="2" t="str">
        <f>_xlfn.XLOOKUP(C427,customers!$A$1:$A$1001,customers!$G$1:$G$1001,,0)</f>
        <v>United States</v>
      </c>
      <c r="I427" t="str">
        <f>INDEX(products!$A$1:$G$49,MATCH($D427,products!$A$1:$A$49,0),MATCH(I$1,products!$A$1:$G$1,0))</f>
        <v>Rob</v>
      </c>
      <c r="J427" t="str" cm="1">
        <f t="array" ref="J427">INDEX(products!$B$2:$E$49,MATCH($D427,products!$A$2:$A$49,0),COLUMN(B426))</f>
        <v>D</v>
      </c>
      <c r="K427" s="4" cm="1">
        <f t="array" ref="K427">INDEX(products!$B$2:$E$49,MATCH($D427,products!$A$2:$A$49,0),COLUMN(C426))</f>
        <v>1</v>
      </c>
      <c r="L427" s="5" cm="1">
        <f t="array" ref="L427">INDEX(products!$B$2:$E$49,MATCH($D427,products!$A$2:$A$49,0),COLUMN(D426))</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INDEX(products!$A$1:$G$49,MATCH($D428,products!$A$1:$A$49,0),MATCH(I$1,products!$A$1:$G$1,0))</f>
        <v>Rob</v>
      </c>
      <c r="J428" t="str" cm="1">
        <f t="array" ref="J428">INDEX(products!$B$2:$E$49,MATCH($D428,products!$A$2:$A$49,0),COLUMN(B427))</f>
        <v>L</v>
      </c>
      <c r="K428" s="4" cm="1">
        <f t="array" ref="K428">INDEX(products!$B$2:$E$49,MATCH($D428,products!$A$2:$A$49,0),COLUMN(C427))</f>
        <v>0.2</v>
      </c>
      <c r="L428" s="5" cm="1">
        <f t="array" ref="L428">INDEX(products!$B$2:$E$49,MATCH($D428,products!$A$2:$A$49,0),COLUMN(D427))</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f>
        <v>Kynthia Berick</v>
      </c>
      <c r="G429" s="2" t="str">
        <f>IF(_xlfn.XLOOKUP(C429,customers!$A$1:$A$1001,customers!$C$1:$C$1001,,0)=0,"",(_xlfn.XLOOKUP(C429,customers!$A$1:$A$1001,customers!$C$1:$C$1001,,0)))</f>
        <v/>
      </c>
      <c r="H429" s="2" t="str">
        <f>_xlfn.XLOOKUP(C429,customers!$A$1:$A$1001,customers!$G$1:$G$1001,,0)</f>
        <v>United States</v>
      </c>
      <c r="I429" t="str">
        <f>INDEX(products!$A$1:$G$49,MATCH($D429,products!$A$1:$A$49,0),MATCH(I$1,products!$A$1:$G$1,0))</f>
        <v>Ara</v>
      </c>
      <c r="J429" t="str" cm="1">
        <f t="array" ref="J429">INDEX(products!$B$2:$E$49,MATCH($D429,products!$A$2:$A$49,0),COLUMN(B428))</f>
        <v>M</v>
      </c>
      <c r="K429" s="4" cm="1">
        <f t="array" ref="K429">INDEX(products!$B$2:$E$49,MATCH($D429,products!$A$2:$A$49,0),COLUMN(C428))</f>
        <v>2.5</v>
      </c>
      <c r="L429" s="5" cm="1">
        <f t="array" ref="L429">INDEX(products!$B$2:$E$49,MATCH($D429,products!$A$2:$A$49,0),COLUMN(D428))</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INDEX(products!$A$1:$G$49,MATCH($D430,products!$A$1:$A$49,0),MATCH(I$1,products!$A$1:$G$1,0))</f>
        <v>Rob</v>
      </c>
      <c r="J430" t="str" cm="1">
        <f t="array" ref="J430">INDEX(products!$B$2:$E$49,MATCH($D430,products!$A$2:$A$49,0),COLUMN(B429))</f>
        <v>L</v>
      </c>
      <c r="K430" s="4" cm="1">
        <f t="array" ref="K430">INDEX(products!$B$2:$E$49,MATCH($D430,products!$A$2:$A$49,0),COLUMN(C429))</f>
        <v>1</v>
      </c>
      <c r="L430" s="5" cm="1">
        <f t="array" ref="L430">INDEX(products!$B$2:$E$49,MATCH($D430,products!$A$2:$A$49,0),COLUMN(D429))</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INDEX(products!$A$1:$G$49,MATCH($D431,products!$A$1:$A$49,0),MATCH(I$1,products!$A$1:$G$1,0))</f>
        <v>Ara</v>
      </c>
      <c r="J431" t="str" cm="1">
        <f t="array" ref="J431">INDEX(products!$B$2:$E$49,MATCH($D431,products!$A$2:$A$49,0),COLUMN(B430))</f>
        <v>L</v>
      </c>
      <c r="K431" s="4" cm="1">
        <f t="array" ref="K431">INDEX(products!$B$2:$E$49,MATCH($D431,products!$A$2:$A$49,0),COLUMN(C430))</f>
        <v>1</v>
      </c>
      <c r="L431" s="5" cm="1">
        <f t="array" ref="L431">INDEX(products!$B$2:$E$49,MATCH($D431,products!$A$2:$A$49,0),COLUMN(D430))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INDEX(products!$A$1:$G$49,MATCH($D432,products!$A$1:$A$49,0),MATCH(I$1,products!$A$1:$G$1,0))</f>
        <v>Rob</v>
      </c>
      <c r="J432" t="str" cm="1">
        <f t="array" ref="J432">INDEX(products!$B$2:$E$49,MATCH($D432,products!$A$2:$A$49,0),COLUMN(B431))</f>
        <v>D</v>
      </c>
      <c r="K432" s="4" cm="1">
        <f t="array" ref="K432">INDEX(products!$B$2:$E$49,MATCH($D432,products!$A$2:$A$49,0),COLUMN(C431))</f>
        <v>0.2</v>
      </c>
      <c r="L432" s="5" cm="1">
        <f t="array" ref="L432">INDEX(products!$B$2:$E$49,MATCH($D432,products!$A$2:$A$49,0),COLUMN(D431))</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f>
        <v>Witty Ranson</v>
      </c>
      <c r="G433" s="2" t="str">
        <f>IF(_xlfn.XLOOKUP(C433,customers!$A$1:$A$1001,customers!$C$1:$C$1001,,0)=0,"",(_xlfn.XLOOKUP(C433,customers!$A$1:$A$1001,customers!$C$1:$C$1001,,0)))</f>
        <v>wransonbz@ted.com</v>
      </c>
      <c r="H433" s="2" t="str">
        <f>_xlfn.XLOOKUP(C433,customers!$A$1:$A$1001,customers!$G$1:$G$1001,,0)</f>
        <v>Ireland</v>
      </c>
      <c r="I433" t="str">
        <f>INDEX(products!$A$1:$G$49,MATCH($D433,products!$A$1:$A$49,0),MATCH(I$1,products!$A$1:$G$1,0))</f>
        <v>Exc</v>
      </c>
      <c r="J433" t="str" cm="1">
        <f t="array" ref="J433">INDEX(products!$B$2:$E$49,MATCH($D433,products!$A$2:$A$49,0),COLUMN(B432))</f>
        <v>D</v>
      </c>
      <c r="K433" s="4" cm="1">
        <f t="array" ref="K433">INDEX(products!$B$2:$E$49,MATCH($D433,products!$A$2:$A$49,0),COLUMN(C432))</f>
        <v>2.5</v>
      </c>
      <c r="L433" s="5" cm="1">
        <f t="array" ref="L433">INDEX(products!$B$2:$E$49,MATCH($D433,products!$A$2:$A$49,0),COLUMN(D432))</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f>
        <v>Rod Gowdie</v>
      </c>
      <c r="G434" s="2" t="str">
        <f>IF(_xlfn.XLOOKUP(C434,customers!$A$1:$A$1001,customers!$C$1:$C$1001,,0)=0,"",(_xlfn.XLOOKUP(C434,customers!$A$1:$A$1001,customers!$C$1:$C$1001,,0)))</f>
        <v/>
      </c>
      <c r="H434" s="2" t="str">
        <f>_xlfn.XLOOKUP(C434,customers!$A$1:$A$1001,customers!$G$1:$G$1001,,0)</f>
        <v>United States</v>
      </c>
      <c r="I434" t="str">
        <f>INDEX(products!$A$1:$G$49,MATCH($D434,products!$A$1:$A$49,0),MATCH(I$1,products!$A$1:$G$1,0))</f>
        <v>Ara</v>
      </c>
      <c r="J434" t="str" cm="1">
        <f t="array" ref="J434">INDEX(products!$B$2:$E$49,MATCH($D434,products!$A$2:$A$49,0),COLUMN(B433))</f>
        <v>M</v>
      </c>
      <c r="K434" s="4" cm="1">
        <f t="array" ref="K434">INDEX(products!$B$2:$E$49,MATCH($D434,products!$A$2:$A$49,0),COLUMN(C433))</f>
        <v>1</v>
      </c>
      <c r="L434" s="5" cm="1">
        <f t="array" ref="L434">INDEX(products!$B$2:$E$49,MATCH($D434,products!$A$2:$A$49,0),COLUMN(D433))</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INDEX(products!$A$1:$G$49,MATCH($D435,products!$A$1:$A$49,0),MATCH(I$1,products!$A$1:$G$1,0))</f>
        <v>Lib</v>
      </c>
      <c r="J435" t="str" cm="1">
        <f t="array" ref="J435">INDEX(products!$B$2:$E$49,MATCH($D435,products!$A$2:$A$49,0),COLUMN(B434))</f>
        <v>M</v>
      </c>
      <c r="K435" s="4" cm="1">
        <f t="array" ref="K435">INDEX(products!$B$2:$E$49,MATCH($D435,products!$A$2:$A$49,0),COLUMN(C434))</f>
        <v>2.5</v>
      </c>
      <c r="L435" s="5" cm="1">
        <f t="array" ref="L435">INDEX(products!$B$2:$E$49,MATCH($D435,products!$A$2:$A$49,0),COLUMN(D434))</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f>
        <v>Nevsa Fields</v>
      </c>
      <c r="G436" s="2" t="str">
        <f>IF(_xlfn.XLOOKUP(C436,customers!$A$1:$A$1001,customers!$C$1:$C$1001,,0)=0,"",(_xlfn.XLOOKUP(C436,customers!$A$1:$A$1001,customers!$C$1:$C$1001,,0)))</f>
        <v/>
      </c>
      <c r="H436" s="2" t="str">
        <f>_xlfn.XLOOKUP(C436,customers!$A$1:$A$1001,customers!$G$1:$G$1001,,0)</f>
        <v>United States</v>
      </c>
      <c r="I436" t="str">
        <f>INDEX(products!$A$1:$G$49,MATCH($D436,products!$A$1:$A$49,0),MATCH(I$1,products!$A$1:$G$1,0))</f>
        <v>Ara</v>
      </c>
      <c r="J436" t="str" cm="1">
        <f t="array" ref="J436">INDEX(products!$B$2:$E$49,MATCH($D436,products!$A$2:$A$49,0),COLUMN(B435))</f>
        <v>M</v>
      </c>
      <c r="K436" s="4" cm="1">
        <f t="array" ref="K436">INDEX(products!$B$2:$E$49,MATCH($D436,products!$A$2:$A$49,0),COLUMN(C435))</f>
        <v>1</v>
      </c>
      <c r="L436" s="5" cm="1">
        <f t="array" ref="L436">INDEX(products!$B$2:$E$49,MATCH($D436,products!$A$2:$A$49,0),COLUMN(D435))</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INDEX(products!$A$1:$G$49,MATCH($D437,products!$A$1:$A$49,0),MATCH(I$1,products!$A$1:$G$1,0))</f>
        <v>Exc</v>
      </c>
      <c r="J437" t="str" cm="1">
        <f t="array" ref="J437">INDEX(products!$B$2:$E$49,MATCH($D437,products!$A$2:$A$49,0),COLUMN(B436))</f>
        <v>M</v>
      </c>
      <c r="K437" s="4" cm="1">
        <f t="array" ref="K437">INDEX(products!$B$2:$E$49,MATCH($D437,products!$A$2:$A$49,0),COLUMN(C436))</f>
        <v>0.5</v>
      </c>
      <c r="L437" s="5" cm="1">
        <f t="array" ref="L437">INDEX(products!$B$2:$E$49,MATCH($D437,products!$A$2:$A$49,0),COLUMN(D436))</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INDEX(products!$A$1:$G$49,MATCH($D438,products!$A$1:$A$49,0),MATCH(I$1,products!$A$1:$G$1,0))</f>
        <v>Lib</v>
      </c>
      <c r="J438" t="str" cm="1">
        <f t="array" ref="J438">INDEX(products!$B$2:$E$49,MATCH($D438,products!$A$2:$A$49,0),COLUMN(B437))</f>
        <v>L</v>
      </c>
      <c r="K438" s="4" cm="1">
        <f t="array" ref="K438">INDEX(products!$B$2:$E$49,MATCH($D438,products!$A$2:$A$49,0),COLUMN(C437))</f>
        <v>0.2</v>
      </c>
      <c r="L438" s="5" cm="1">
        <f t="array" ref="L438">INDEX(products!$B$2:$E$49,MATCH($D438,products!$A$2:$A$49,0),COLUMN(D437))</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f>
        <v>Willabella Abramski</v>
      </c>
      <c r="G439" s="2" t="str">
        <f>IF(_xlfn.XLOOKUP(C439,customers!$A$1:$A$1001,customers!$C$1:$C$1001,,0)=0,"",(_xlfn.XLOOKUP(C439,customers!$A$1:$A$1001,customers!$C$1:$C$1001,,0)))</f>
        <v/>
      </c>
      <c r="H439" s="2" t="str">
        <f>_xlfn.XLOOKUP(C439,customers!$A$1:$A$1001,customers!$G$1:$G$1001,,0)</f>
        <v>United States</v>
      </c>
      <c r="I439" t="str">
        <f>INDEX(products!$A$1:$G$49,MATCH($D439,products!$A$1:$A$49,0),MATCH(I$1,products!$A$1:$G$1,0))</f>
        <v>Lib</v>
      </c>
      <c r="J439" t="str" cm="1">
        <f t="array" ref="J439">INDEX(products!$B$2:$E$49,MATCH($D439,products!$A$2:$A$49,0),COLUMN(B438))</f>
        <v>D</v>
      </c>
      <c r="K439" s="4" cm="1">
        <f t="array" ref="K439">INDEX(products!$B$2:$E$49,MATCH($D439,products!$A$2:$A$49,0),COLUMN(C438))</f>
        <v>2.5</v>
      </c>
      <c r="L439" s="5" cm="1">
        <f t="array" ref="L439">INDEX(products!$B$2:$E$49,MATCH($D439,products!$A$2:$A$49,0),COLUMN(D438))</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INDEX(products!$A$1:$G$49,MATCH($D440,products!$A$1:$A$49,0),MATCH(I$1,products!$A$1:$G$1,0))</f>
        <v>Lib</v>
      </c>
      <c r="J440" t="str" cm="1">
        <f t="array" ref="J440">INDEX(products!$B$2:$E$49,MATCH($D440,products!$A$2:$A$49,0),COLUMN(B439))</f>
        <v>D</v>
      </c>
      <c r="K440" s="4" cm="1">
        <f t="array" ref="K440">INDEX(products!$B$2:$E$49,MATCH($D440,products!$A$2:$A$49,0),COLUMN(C439))</f>
        <v>0.5</v>
      </c>
      <c r="L440" s="5" cm="1">
        <f t="array" ref="L440">INDEX(products!$B$2:$E$49,MATCH($D440,products!$A$2:$A$49,0),COLUMN(D439))</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INDEX(products!$A$1:$G$49,MATCH($D441,products!$A$1:$A$49,0),MATCH(I$1,products!$A$1:$G$1,0))</f>
        <v>Exc</v>
      </c>
      <c r="J441" t="str" cm="1">
        <f t="array" ref="J441">INDEX(products!$B$2:$E$49,MATCH($D441,products!$A$2:$A$49,0),COLUMN(B440))</f>
        <v>L</v>
      </c>
      <c r="K441" s="4" cm="1">
        <f t="array" ref="K441">INDEX(products!$B$2:$E$49,MATCH($D441,products!$A$2:$A$49,0),COLUMN(C440))</f>
        <v>0.5</v>
      </c>
      <c r="L441" s="5" cm="1">
        <f t="array" ref="L441">INDEX(products!$B$2:$E$49,MATCH($D441,products!$A$2:$A$49,0),COLUMN(D440))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INDEX(products!$A$1:$G$49,MATCH($D442,products!$A$1:$A$49,0),MATCH(I$1,products!$A$1:$G$1,0))</f>
        <v>Ara</v>
      </c>
      <c r="J442" t="str" cm="1">
        <f t="array" ref="J442">INDEX(products!$B$2:$E$49,MATCH($D442,products!$A$2:$A$49,0),COLUMN(B441))</f>
        <v>M</v>
      </c>
      <c r="K442" s="4" cm="1">
        <f t="array" ref="K442">INDEX(products!$B$2:$E$49,MATCH($D442,products!$A$2:$A$49,0),COLUMN(C441))</f>
        <v>2.5</v>
      </c>
      <c r="L442" s="5" cm="1">
        <f t="array" ref="L442">INDEX(products!$B$2:$E$49,MATCH($D442,products!$A$2:$A$49,0),COLUMN(D441))</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INDEX(products!$A$1:$G$49,MATCH($D443,products!$A$1:$A$49,0),MATCH(I$1,products!$A$1:$G$1,0))</f>
        <v>Exc</v>
      </c>
      <c r="J443" t="str" cm="1">
        <f t="array" ref="J443">INDEX(products!$B$2:$E$49,MATCH($D443,products!$A$2:$A$49,0),COLUMN(B442))</f>
        <v>D</v>
      </c>
      <c r="K443" s="4" cm="1">
        <f t="array" ref="K443">INDEX(products!$B$2:$E$49,MATCH($D443,products!$A$2:$A$49,0),COLUMN(C442))</f>
        <v>1</v>
      </c>
      <c r="L443" s="5" cm="1">
        <f t="array" ref="L443">INDEX(products!$B$2:$E$49,MATCH($D443,products!$A$2:$A$49,0),COLUMN(D442))</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INDEX(products!$A$1:$G$49,MATCH($D444,products!$A$1:$A$49,0),MATCH(I$1,products!$A$1:$G$1,0))</f>
        <v>Rob</v>
      </c>
      <c r="J444" t="str" cm="1">
        <f t="array" ref="J444">INDEX(products!$B$2:$E$49,MATCH($D444,products!$A$2:$A$49,0),COLUMN(B443))</f>
        <v>L</v>
      </c>
      <c r="K444" s="4" cm="1">
        <f t="array" ref="K444">INDEX(products!$B$2:$E$49,MATCH($D444,products!$A$2:$A$49,0),COLUMN(C443))</f>
        <v>0.5</v>
      </c>
      <c r="L444" s="5" cm="1">
        <f t="array" ref="L444">INDEX(products!$B$2:$E$49,MATCH($D444,products!$A$2:$A$49,0),COLUMN(D443))</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f>
        <v>Theo Bowne</v>
      </c>
      <c r="G445" s="2" t="str">
        <f>IF(_xlfn.XLOOKUP(C445,customers!$A$1:$A$1001,customers!$C$1:$C$1001,,0)=0,"",(_xlfn.XLOOKUP(C445,customers!$A$1:$A$1001,customers!$C$1:$C$1001,,0)))</f>
        <v>tbownecb@unicef.org</v>
      </c>
      <c r="H445" s="2" t="str">
        <f>_xlfn.XLOOKUP(C445,customers!$A$1:$A$1001,customers!$G$1:$G$1001,,0)</f>
        <v>Ireland</v>
      </c>
      <c r="I445" t="str">
        <f>INDEX(products!$A$1:$G$49,MATCH($D445,products!$A$1:$A$49,0),MATCH(I$1,products!$A$1:$G$1,0))</f>
        <v>Exc</v>
      </c>
      <c r="J445" t="str" cm="1">
        <f t="array" ref="J445">INDEX(products!$B$2:$E$49,MATCH($D445,products!$A$2:$A$49,0),COLUMN(B444))</f>
        <v>L</v>
      </c>
      <c r="K445" s="4" cm="1">
        <f t="array" ref="K445">INDEX(products!$B$2:$E$49,MATCH($D445,products!$A$2:$A$49,0),COLUMN(C444))</f>
        <v>0.2</v>
      </c>
      <c r="L445" s="5" cm="1">
        <f t="array" ref="L445">INDEX(products!$B$2:$E$49,MATCH($D445,products!$A$2:$A$49,0),COLUMN(D444))</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INDEX(products!$A$1:$G$49,MATCH($D446,products!$A$1:$A$49,0),MATCH(I$1,products!$A$1:$G$1,0))</f>
        <v>Exc</v>
      </c>
      <c r="J446" t="str" cm="1">
        <f t="array" ref="J446">INDEX(products!$B$2:$E$49,MATCH($D446,products!$A$2:$A$49,0),COLUMN(B445))</f>
        <v>M</v>
      </c>
      <c r="K446" s="4" cm="1">
        <f t="array" ref="K446">INDEX(products!$B$2:$E$49,MATCH($D446,products!$A$2:$A$49,0),COLUMN(C445))</f>
        <v>0.2</v>
      </c>
      <c r="L446" s="5" cm="1">
        <f t="array" ref="L446">INDEX(products!$B$2:$E$49,MATCH($D446,products!$A$2:$A$49,0),COLUMN(D445))</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INDEX(products!$A$1:$G$49,MATCH($D447,products!$A$1:$A$49,0),MATCH(I$1,products!$A$1:$G$1,0))</f>
        <v>Lib</v>
      </c>
      <c r="J447" t="str" cm="1">
        <f t="array" ref="J447">INDEX(products!$B$2:$E$49,MATCH($D447,products!$A$2:$A$49,0),COLUMN(B446))</f>
        <v>M</v>
      </c>
      <c r="K447" s="4" cm="1">
        <f t="array" ref="K447">INDEX(products!$B$2:$E$49,MATCH($D447,products!$A$2:$A$49,0),COLUMN(C446))</f>
        <v>2.5</v>
      </c>
      <c r="L447" s="5" cm="1">
        <f t="array" ref="L447">INDEX(products!$B$2:$E$49,MATCH($D447,products!$A$2:$A$49,0),COLUMN(D446))</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INDEX(products!$A$1:$G$49,MATCH($D448,products!$A$1:$A$49,0),MATCH(I$1,products!$A$1:$G$1,0))</f>
        <v>Lib</v>
      </c>
      <c r="J448" t="str" cm="1">
        <f t="array" ref="J448">INDEX(products!$B$2:$E$49,MATCH($D448,products!$A$2:$A$49,0),COLUMN(B447))</f>
        <v>M</v>
      </c>
      <c r="K448" s="4" cm="1">
        <f t="array" ref="K448">INDEX(products!$B$2:$E$49,MATCH($D448,products!$A$2:$A$49,0),COLUMN(C447))</f>
        <v>0.5</v>
      </c>
      <c r="L448" s="5" cm="1">
        <f t="array" ref="L448">INDEX(products!$B$2:$E$49,MATCH($D448,products!$A$2:$A$49,0),COLUMN(D447))</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INDEX(products!$A$1:$G$49,MATCH($D449,products!$A$1:$A$49,0),MATCH(I$1,products!$A$1:$G$1,0))</f>
        <v>Rob</v>
      </c>
      <c r="J449" t="str" cm="1">
        <f t="array" ref="J449">INDEX(products!$B$2:$E$49,MATCH($D449,products!$A$2:$A$49,0),COLUMN(B448))</f>
        <v>M</v>
      </c>
      <c r="K449" s="4" cm="1">
        <f t="array" ref="K449">INDEX(products!$B$2:$E$49,MATCH($D449,products!$A$2:$A$49,0),COLUMN(C448))</f>
        <v>0.5</v>
      </c>
      <c r="L449" s="5" cm="1">
        <f t="array" ref="L449">INDEX(products!$B$2:$E$49,MATCH($D449,products!$A$2:$A$49,0),COLUMN(D448))</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f>
        <v>Pru Durban</v>
      </c>
      <c r="G450" s="2" t="str">
        <f>IF(_xlfn.XLOOKUP(C450,customers!$A$1:$A$1001,customers!$C$1:$C$1001,,0)=0,"",(_xlfn.XLOOKUP(C450,customers!$A$1:$A$1001,customers!$C$1:$C$1001,,0)))</f>
        <v>pdurbancg@symantec.com</v>
      </c>
      <c r="H450" s="2" t="str">
        <f>_xlfn.XLOOKUP(C450,customers!$A$1:$A$1001,customers!$G$1:$G$1001,,0)</f>
        <v>Ireland</v>
      </c>
      <c r="I450" t="str">
        <f>INDEX(products!$A$1:$G$49,MATCH($D450,products!$A$1:$A$49,0),MATCH(I$1,products!$A$1:$G$1,0))</f>
        <v>Rob</v>
      </c>
      <c r="J450" t="str" cm="1">
        <f t="array" ref="J450">INDEX(products!$B$2:$E$49,MATCH($D450,products!$A$2:$A$49,0),COLUMN(B449))</f>
        <v>L</v>
      </c>
      <c r="K450" s="4" cm="1">
        <f t="array" ref="K450">INDEX(products!$B$2:$E$49,MATCH($D450,products!$A$2:$A$49,0),COLUMN(C449))</f>
        <v>0.5</v>
      </c>
      <c r="L450" s="5" cm="1">
        <f t="array" ref="L450">INDEX(products!$B$2:$E$49,MATCH($D450,products!$A$2:$A$49,0),COLUMN(D449))</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INDEX(products!$A$1:$G$49,MATCH($D451,products!$A$1:$A$49,0),MATCH(I$1,products!$A$1:$G$1,0))</f>
        <v>Rob</v>
      </c>
      <c r="J451" t="str" cm="1">
        <f t="array" ref="J451">INDEX(products!$B$2:$E$49,MATCH($D451,products!$A$2:$A$49,0),COLUMN(B450))</f>
        <v>D</v>
      </c>
      <c r="K451" s="4" cm="1">
        <f t="array" ref="K451">INDEX(products!$B$2:$E$49,MATCH($D451,products!$A$2:$A$49,0),COLUMN(C450))</f>
        <v>0.2</v>
      </c>
      <c r="L451" s="5" cm="1">
        <f t="array" ref="L451">INDEX(products!$B$2:$E$49,MATCH($D451,products!$A$2:$A$49,0),COLUMN(D450))</f>
        <v>2.6849999999999996</v>
      </c>
      <c r="M451" s="5">
        <f t="shared" ref="M451:M514" si="21">E451*L451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INDEX(products!$A$1:$G$49,MATCH($D452,products!$A$1:$A$49,0),MATCH(I$1,products!$A$1:$G$1,0))</f>
        <v>Lib</v>
      </c>
      <c r="J452" t="str" cm="1">
        <f t="array" ref="J452">INDEX(products!$B$2:$E$49,MATCH($D452,products!$A$2:$A$49,0),COLUMN(B451))</f>
        <v>L</v>
      </c>
      <c r="K452" s="4" cm="1">
        <f t="array" ref="K452">INDEX(products!$B$2:$E$49,MATCH($D452,products!$A$2:$A$49,0),COLUMN(C451))</f>
        <v>0.2</v>
      </c>
      <c r="L452" s="5" cm="1">
        <f t="array" ref="L452">INDEX(products!$B$2:$E$49,MATCH($D452,products!$A$2:$A$49,0),COLUMN(D451))</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INDEX(products!$A$1:$G$49,MATCH($D453,products!$A$1:$A$49,0),MATCH(I$1,products!$A$1:$G$1,0))</f>
        <v>Rob</v>
      </c>
      <c r="J453" t="str" cm="1">
        <f t="array" ref="J453">INDEX(products!$B$2:$E$49,MATCH($D453,products!$A$2:$A$49,0),COLUMN(B452))</f>
        <v>D</v>
      </c>
      <c r="K453" s="4" cm="1">
        <f t="array" ref="K453">INDEX(products!$B$2:$E$49,MATCH($D453,products!$A$2:$A$49,0),COLUMN(C452))</f>
        <v>2.5</v>
      </c>
      <c r="L453" s="5" cm="1">
        <f t="array" ref="L453">INDEX(products!$B$2:$E$49,MATCH($D453,products!$A$2:$A$49,0),COLUMN(D452))</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INDEX(products!$A$1:$G$49,MATCH($D454,products!$A$1:$A$49,0),MATCH(I$1,products!$A$1:$G$1,0))</f>
        <v>Ara</v>
      </c>
      <c r="J454" t="str" cm="1">
        <f t="array" ref="J454">INDEX(products!$B$2:$E$49,MATCH($D454,products!$A$2:$A$49,0),COLUMN(B453))</f>
        <v>L</v>
      </c>
      <c r="K454" s="4" cm="1">
        <f t="array" ref="K454">INDEX(products!$B$2:$E$49,MATCH($D454,products!$A$2:$A$49,0),COLUMN(C453))</f>
        <v>0.2</v>
      </c>
      <c r="L454" s="5" cm="1">
        <f t="array" ref="L454">INDEX(products!$B$2:$E$49,MATCH($D454,products!$A$2:$A$49,0),COLUMN(D453))</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INDEX(products!$A$1:$G$49,MATCH($D455,products!$A$1:$A$49,0),MATCH(I$1,products!$A$1:$G$1,0))</f>
        <v>Lib</v>
      </c>
      <c r="J455" t="str" cm="1">
        <f t="array" ref="J455">INDEX(products!$B$2:$E$49,MATCH($D455,products!$A$2:$A$49,0),COLUMN(B454))</f>
        <v>L</v>
      </c>
      <c r="K455" s="4" cm="1">
        <f t="array" ref="K455">INDEX(products!$B$2:$E$49,MATCH($D455,products!$A$2:$A$49,0),COLUMN(C454))</f>
        <v>0.5</v>
      </c>
      <c r="L455" s="5" cm="1">
        <f t="array" ref="L455">INDEX(products!$B$2:$E$49,MATCH($D455,products!$A$2:$A$49,0),COLUMN(D454))</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INDEX(products!$A$1:$G$49,MATCH($D456,products!$A$1:$A$49,0),MATCH(I$1,products!$A$1:$G$1,0))</f>
        <v>Rob</v>
      </c>
      <c r="J456" t="str" cm="1">
        <f t="array" ref="J456">INDEX(products!$B$2:$E$49,MATCH($D456,products!$A$2:$A$49,0),COLUMN(B455))</f>
        <v>D</v>
      </c>
      <c r="K456" s="4" cm="1">
        <f t="array" ref="K456">INDEX(products!$B$2:$E$49,MATCH($D456,products!$A$2:$A$49,0),COLUMN(C455))</f>
        <v>2.5</v>
      </c>
      <c r="L456" s="5" cm="1">
        <f t="array" ref="L456">INDEX(products!$B$2:$E$49,MATCH($D456,products!$A$2:$A$49,0),COLUMN(D455))</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INDEX(products!$A$1:$G$49,MATCH($D457,products!$A$1:$A$49,0),MATCH(I$1,products!$A$1:$G$1,0))</f>
        <v>Lib</v>
      </c>
      <c r="J457" t="str" cm="1">
        <f t="array" ref="J457">INDEX(products!$B$2:$E$49,MATCH($D457,products!$A$2:$A$49,0),COLUMN(B456))</f>
        <v>L</v>
      </c>
      <c r="K457" s="4" cm="1">
        <f t="array" ref="K457">INDEX(products!$B$2:$E$49,MATCH($D457,products!$A$2:$A$49,0),COLUMN(C456))</f>
        <v>0.2</v>
      </c>
      <c r="L457" s="5" cm="1">
        <f t="array" ref="L457">INDEX(products!$B$2:$E$49,MATCH($D457,products!$A$2:$A$49,0),COLUMN(D456))</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INDEX(products!$A$1:$G$49,MATCH($D458,products!$A$1:$A$49,0),MATCH(I$1,products!$A$1:$G$1,0))</f>
        <v>Rob</v>
      </c>
      <c r="J458" t="str" cm="1">
        <f t="array" ref="J458">INDEX(products!$B$2:$E$49,MATCH($D458,products!$A$2:$A$49,0),COLUMN(B457))</f>
        <v>D</v>
      </c>
      <c r="K458" s="4" cm="1">
        <f t="array" ref="K458">INDEX(products!$B$2:$E$49,MATCH($D458,products!$A$2:$A$49,0),COLUMN(C457))</f>
        <v>2.5</v>
      </c>
      <c r="L458" s="5" cm="1">
        <f t="array" ref="L458">INDEX(products!$B$2:$E$49,MATCH($D458,products!$A$2:$A$49,0),COLUMN(D457))</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INDEX(products!$A$1:$G$49,MATCH($D459,products!$A$1:$A$49,0),MATCH(I$1,products!$A$1:$G$1,0))</f>
        <v>Lib</v>
      </c>
      <c r="J459" t="str" cm="1">
        <f t="array" ref="J459">INDEX(products!$B$2:$E$49,MATCH($D459,products!$A$2:$A$49,0),COLUMN(B458))</f>
        <v>L</v>
      </c>
      <c r="K459" s="4" cm="1">
        <f t="array" ref="K459">INDEX(products!$B$2:$E$49,MATCH($D459,products!$A$2:$A$49,0),COLUMN(C458))</f>
        <v>0.5</v>
      </c>
      <c r="L459" s="5" cm="1">
        <f t="array" ref="L459">INDEX(products!$B$2:$E$49,MATCH($D459,products!$A$2:$A$49,0),COLUMN(D458))</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INDEX(products!$A$1:$G$49,MATCH($D460,products!$A$1:$A$49,0),MATCH(I$1,products!$A$1:$G$1,0))</f>
        <v>Ara</v>
      </c>
      <c r="J460" t="str" cm="1">
        <f t="array" ref="J460">INDEX(products!$B$2:$E$49,MATCH($D460,products!$A$2:$A$49,0),COLUMN(B459))</f>
        <v>M</v>
      </c>
      <c r="K460" s="4" cm="1">
        <f t="array" ref="K460">INDEX(products!$B$2:$E$49,MATCH($D460,products!$A$2:$A$49,0),COLUMN(C459))</f>
        <v>1</v>
      </c>
      <c r="L460" s="5" cm="1">
        <f t="array" ref="L460">INDEX(products!$B$2:$E$49,MATCH($D460,products!$A$2:$A$49,0),COLUMN(D459))</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INDEX(products!$A$1:$G$49,MATCH($D461,products!$A$1:$A$49,0),MATCH(I$1,products!$A$1:$G$1,0))</f>
        <v>Lib</v>
      </c>
      <c r="J461" t="str" cm="1">
        <f t="array" ref="J461">INDEX(products!$B$2:$E$49,MATCH($D461,products!$A$2:$A$49,0),COLUMN(B460))</f>
        <v>L</v>
      </c>
      <c r="K461" s="4" cm="1">
        <f t="array" ref="K461">INDEX(products!$B$2:$E$49,MATCH($D461,products!$A$2:$A$49,0),COLUMN(C460))</f>
        <v>0.2</v>
      </c>
      <c r="L461" s="5" cm="1">
        <f t="array" ref="L461">INDEX(products!$B$2:$E$49,MATCH($D461,products!$A$2:$A$49,0),COLUMN(D460))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INDEX(products!$A$1:$G$49,MATCH($D462,products!$A$1:$A$49,0),MATCH(I$1,products!$A$1:$G$1,0))</f>
        <v>Rob</v>
      </c>
      <c r="J462" t="str" cm="1">
        <f t="array" ref="J462">INDEX(products!$B$2:$E$49,MATCH($D462,products!$A$2:$A$49,0),COLUMN(B461))</f>
        <v>D</v>
      </c>
      <c r="K462" s="4" cm="1">
        <f t="array" ref="K462">INDEX(products!$B$2:$E$49,MATCH($D462,products!$A$2:$A$49,0),COLUMN(C461))</f>
        <v>0.5</v>
      </c>
      <c r="L462" s="5" cm="1">
        <f t="array" ref="L462">INDEX(products!$B$2:$E$49,MATCH($D462,products!$A$2:$A$49,0),COLUMN(D461))</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INDEX(products!$A$1:$G$49,MATCH($D463,products!$A$1:$A$49,0),MATCH(I$1,products!$A$1:$G$1,0))</f>
        <v>Rob</v>
      </c>
      <c r="J463" t="str" cm="1">
        <f t="array" ref="J463">INDEX(products!$B$2:$E$49,MATCH($D463,products!$A$2:$A$49,0),COLUMN(B462))</f>
        <v>D</v>
      </c>
      <c r="K463" s="4" cm="1">
        <f t="array" ref="K463">INDEX(products!$B$2:$E$49,MATCH($D463,products!$A$2:$A$49,0),COLUMN(C462))</f>
        <v>0.2</v>
      </c>
      <c r="L463" s="5" cm="1">
        <f t="array" ref="L463">INDEX(products!$B$2:$E$49,MATCH($D463,products!$A$2:$A$49,0),COLUMN(D462))</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INDEX(products!$A$1:$G$49,MATCH($D464,products!$A$1:$A$49,0),MATCH(I$1,products!$A$1:$G$1,0))</f>
        <v>Ara</v>
      </c>
      <c r="J464" t="str" cm="1">
        <f t="array" ref="J464">INDEX(products!$B$2:$E$49,MATCH($D464,products!$A$2:$A$49,0),COLUMN(B463))</f>
        <v>D</v>
      </c>
      <c r="K464" s="4" cm="1">
        <f t="array" ref="K464">INDEX(products!$B$2:$E$49,MATCH($D464,products!$A$2:$A$49,0),COLUMN(C463))</f>
        <v>1</v>
      </c>
      <c r="L464" s="5" cm="1">
        <f t="array" ref="L464">INDEX(products!$B$2:$E$49,MATCH($D464,products!$A$2:$A$49,0),COLUMN(D463))</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INDEX(products!$A$1:$G$49,MATCH($D465,products!$A$1:$A$49,0),MATCH(I$1,products!$A$1:$G$1,0))</f>
        <v>Exc</v>
      </c>
      <c r="J465" t="str" cm="1">
        <f t="array" ref="J465">INDEX(products!$B$2:$E$49,MATCH($D465,products!$A$2:$A$49,0),COLUMN(B464))</f>
        <v>M</v>
      </c>
      <c r="K465" s="4" cm="1">
        <f t="array" ref="K465">INDEX(products!$B$2:$E$49,MATCH($D465,products!$A$2:$A$49,0),COLUMN(C464))</f>
        <v>1</v>
      </c>
      <c r="L465" s="5" cm="1">
        <f t="array" ref="L465">INDEX(products!$B$2:$E$49,MATCH($D465,products!$A$2:$A$49,0),COLUMN(D464))</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INDEX(products!$A$1:$G$49,MATCH($D466,products!$A$1:$A$49,0),MATCH(I$1,products!$A$1:$G$1,0))</f>
        <v>Lib</v>
      </c>
      <c r="J466" t="str" cm="1">
        <f t="array" ref="J466">INDEX(products!$B$2:$E$49,MATCH($D466,products!$A$2:$A$49,0),COLUMN(B465))</f>
        <v>D</v>
      </c>
      <c r="K466" s="4" cm="1">
        <f t="array" ref="K466">INDEX(products!$B$2:$E$49,MATCH($D466,products!$A$2:$A$49,0),COLUMN(C465))</f>
        <v>2.5</v>
      </c>
      <c r="L466" s="5" cm="1">
        <f t="array" ref="L466">INDEX(products!$B$2:$E$49,MATCH($D466,products!$A$2:$A$49,0),COLUMN(D465))</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INDEX(products!$A$1:$G$49,MATCH($D467,products!$A$1:$A$49,0),MATCH(I$1,products!$A$1:$G$1,0))</f>
        <v>Rob</v>
      </c>
      <c r="J467" t="str" cm="1">
        <f t="array" ref="J467">INDEX(products!$B$2:$E$49,MATCH($D467,products!$A$2:$A$49,0),COLUMN(B466))</f>
        <v>D</v>
      </c>
      <c r="K467" s="4" cm="1">
        <f t="array" ref="K467">INDEX(products!$B$2:$E$49,MATCH($D467,products!$A$2:$A$49,0),COLUMN(C466))</f>
        <v>2.5</v>
      </c>
      <c r="L467" s="5" cm="1">
        <f t="array" ref="L467">INDEX(products!$B$2:$E$49,MATCH($D467,products!$A$2:$A$49,0),COLUMN(D466))</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INDEX(products!$A$1:$G$49,MATCH($D468,products!$A$1:$A$49,0),MATCH(I$1,products!$A$1:$G$1,0))</f>
        <v>Ara</v>
      </c>
      <c r="J468" t="str" cm="1">
        <f t="array" ref="J468">INDEX(products!$B$2:$E$49,MATCH($D468,products!$A$2:$A$49,0),COLUMN(B467))</f>
        <v>D</v>
      </c>
      <c r="K468" s="4" cm="1">
        <f t="array" ref="K468">INDEX(products!$B$2:$E$49,MATCH($D468,products!$A$2:$A$49,0),COLUMN(C467))</f>
        <v>0.2</v>
      </c>
      <c r="L468" s="5" cm="1">
        <f t="array" ref="L468">INDEX(products!$B$2:$E$49,MATCH($D468,products!$A$2:$A$49,0),COLUMN(D467))</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INDEX(products!$A$1:$G$49,MATCH($D469,products!$A$1:$A$49,0),MATCH(I$1,products!$A$1:$G$1,0))</f>
        <v>Ara</v>
      </c>
      <c r="J469" t="str" cm="1">
        <f t="array" ref="J469">INDEX(products!$B$2:$E$49,MATCH($D469,products!$A$2:$A$49,0),COLUMN(B468))</f>
        <v>D</v>
      </c>
      <c r="K469" s="4" cm="1">
        <f t="array" ref="K469">INDEX(products!$B$2:$E$49,MATCH($D469,products!$A$2:$A$49,0),COLUMN(C468))</f>
        <v>0.5</v>
      </c>
      <c r="L469" s="5" cm="1">
        <f t="array" ref="L469">INDEX(products!$B$2:$E$49,MATCH($D469,products!$A$2:$A$49,0),COLUMN(D468))</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INDEX(products!$A$1:$G$49,MATCH($D470,products!$A$1:$A$49,0),MATCH(I$1,products!$A$1:$G$1,0))</f>
        <v>Exc</v>
      </c>
      <c r="J470" t="str" cm="1">
        <f t="array" ref="J470">INDEX(products!$B$2:$E$49,MATCH($D470,products!$A$2:$A$49,0),COLUMN(B469))</f>
        <v>M</v>
      </c>
      <c r="K470" s="4" cm="1">
        <f t="array" ref="K470">INDEX(products!$B$2:$E$49,MATCH($D470,products!$A$2:$A$49,0),COLUMN(C469))</f>
        <v>1</v>
      </c>
      <c r="L470" s="5" cm="1">
        <f t="array" ref="L470">INDEX(products!$B$2:$E$49,MATCH($D470,products!$A$2:$A$49,0),COLUMN(D469))</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INDEX(products!$A$1:$G$49,MATCH($D471,products!$A$1:$A$49,0),MATCH(I$1,products!$A$1:$G$1,0))</f>
        <v>Exc</v>
      </c>
      <c r="J471" t="str" cm="1">
        <f t="array" ref="J471">INDEX(products!$B$2:$E$49,MATCH($D471,products!$A$2:$A$49,0),COLUMN(B470))</f>
        <v>L</v>
      </c>
      <c r="K471" s="4" cm="1">
        <f t="array" ref="K471">INDEX(products!$B$2:$E$49,MATCH($D471,products!$A$2:$A$49,0),COLUMN(C470))</f>
        <v>0.2</v>
      </c>
      <c r="L471" s="5" cm="1">
        <f t="array" ref="L471">INDEX(products!$B$2:$E$49,MATCH($D471,products!$A$2:$A$49,0),COLUMN(D470))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INDEX(products!$A$1:$G$49,MATCH($D472,products!$A$1:$A$49,0),MATCH(I$1,products!$A$1:$G$1,0))</f>
        <v>Ara</v>
      </c>
      <c r="J472" t="str" cm="1">
        <f t="array" ref="J472">INDEX(products!$B$2:$E$49,MATCH($D472,products!$A$2:$A$49,0),COLUMN(B471))</f>
        <v>M</v>
      </c>
      <c r="K472" s="4" cm="1">
        <f t="array" ref="K472">INDEX(products!$B$2:$E$49,MATCH($D472,products!$A$2:$A$49,0),COLUMN(C471))</f>
        <v>0.5</v>
      </c>
      <c r="L472" s="5" cm="1">
        <f t="array" ref="L472">INDEX(products!$B$2:$E$49,MATCH($D472,products!$A$2:$A$49,0),COLUMN(D471))</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f>
        <v>Lamond Gheeraert</v>
      </c>
      <c r="G473" s="2" t="str">
        <f>IF(_xlfn.XLOOKUP(C473,customers!$A$1:$A$1001,customers!$C$1:$C$1001,,0)=0,"",(_xlfn.XLOOKUP(C473,customers!$A$1:$A$1001,customers!$C$1:$C$1001,,0)))</f>
        <v/>
      </c>
      <c r="H473" s="2" t="str">
        <f>_xlfn.XLOOKUP(C473,customers!$A$1:$A$1001,customers!$G$1:$G$1001,,0)</f>
        <v>United States</v>
      </c>
      <c r="I473" t="str">
        <f>INDEX(products!$A$1:$G$49,MATCH($D473,products!$A$1:$A$49,0),MATCH(I$1,products!$A$1:$G$1,0))</f>
        <v>Lib</v>
      </c>
      <c r="J473" t="str" cm="1">
        <f t="array" ref="J473">INDEX(products!$B$2:$E$49,MATCH($D473,products!$A$2:$A$49,0),COLUMN(B472))</f>
        <v>M</v>
      </c>
      <c r="K473" s="4" cm="1">
        <f t="array" ref="K473">INDEX(products!$B$2:$E$49,MATCH($D473,products!$A$2:$A$49,0),COLUMN(C472))</f>
        <v>2.5</v>
      </c>
      <c r="L473" s="5" cm="1">
        <f t="array" ref="L473">INDEX(products!$B$2:$E$49,MATCH($D473,products!$A$2:$A$49,0),COLUMN(D472))</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INDEX(products!$A$1:$G$49,MATCH($D474,products!$A$1:$A$49,0),MATCH(I$1,products!$A$1:$G$1,0))</f>
        <v>Ara</v>
      </c>
      <c r="J474" t="str" cm="1">
        <f t="array" ref="J474">INDEX(products!$B$2:$E$49,MATCH($D474,products!$A$2:$A$49,0),COLUMN(B473))</f>
        <v>D</v>
      </c>
      <c r="K474" s="4" cm="1">
        <f t="array" ref="K474">INDEX(products!$B$2:$E$49,MATCH($D474,products!$A$2:$A$49,0),COLUMN(C473))</f>
        <v>0.2</v>
      </c>
      <c r="L474" s="5" cm="1">
        <f t="array" ref="L474">INDEX(products!$B$2:$E$49,MATCH($D474,products!$A$2:$A$49,0),COLUMN(D473))</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INDEX(products!$A$1:$G$49,MATCH($D475,products!$A$1:$A$49,0),MATCH(I$1,products!$A$1:$G$1,0))</f>
        <v>Ara</v>
      </c>
      <c r="J475" t="str" cm="1">
        <f t="array" ref="J475">INDEX(products!$B$2:$E$49,MATCH($D475,products!$A$2:$A$49,0),COLUMN(B474))</f>
        <v>L</v>
      </c>
      <c r="K475" s="4" cm="1">
        <f t="array" ref="K475">INDEX(products!$B$2:$E$49,MATCH($D475,products!$A$2:$A$49,0),COLUMN(C474))</f>
        <v>1</v>
      </c>
      <c r="L475" s="5" cm="1">
        <f t="array" ref="L475">INDEX(products!$B$2:$E$49,MATCH($D475,products!$A$2:$A$49,0),COLUMN(D474))</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INDEX(products!$A$1:$G$49,MATCH($D476,products!$A$1:$A$49,0),MATCH(I$1,products!$A$1:$G$1,0))</f>
        <v>Exc</v>
      </c>
      <c r="J476" t="str" cm="1">
        <f t="array" ref="J476">INDEX(products!$B$2:$E$49,MATCH($D476,products!$A$2:$A$49,0),COLUMN(B475))</f>
        <v>M</v>
      </c>
      <c r="K476" s="4" cm="1">
        <f t="array" ref="K476">INDEX(products!$B$2:$E$49,MATCH($D476,products!$A$2:$A$49,0),COLUMN(C475))</f>
        <v>2.5</v>
      </c>
      <c r="L476" s="5" cm="1">
        <f t="array" ref="L476">INDEX(products!$B$2:$E$49,MATCH($D476,products!$A$2:$A$49,0),COLUMN(D475))</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INDEX(products!$A$1:$G$49,MATCH($D477,products!$A$1:$A$49,0),MATCH(I$1,products!$A$1:$G$1,0))</f>
        <v>Lib</v>
      </c>
      <c r="J477" t="str" cm="1">
        <f t="array" ref="J477">INDEX(products!$B$2:$E$49,MATCH($D477,products!$A$2:$A$49,0),COLUMN(B476))</f>
        <v>M</v>
      </c>
      <c r="K477" s="4" cm="1">
        <f t="array" ref="K477">INDEX(products!$B$2:$E$49,MATCH($D477,products!$A$2:$A$49,0),COLUMN(C476))</f>
        <v>0.2</v>
      </c>
      <c r="L477" s="5" cm="1">
        <f t="array" ref="L477">INDEX(products!$B$2:$E$49,MATCH($D477,products!$A$2:$A$49,0),COLUMN(D476))</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INDEX(products!$A$1:$G$49,MATCH($D478,products!$A$1:$A$49,0),MATCH(I$1,products!$A$1:$G$1,0))</f>
        <v>Exc</v>
      </c>
      <c r="J478" t="str" cm="1">
        <f t="array" ref="J478">INDEX(products!$B$2:$E$49,MATCH($D478,products!$A$2:$A$49,0),COLUMN(B477))</f>
        <v>L</v>
      </c>
      <c r="K478" s="4" cm="1">
        <f t="array" ref="K478">INDEX(products!$B$2:$E$49,MATCH($D478,products!$A$2:$A$49,0),COLUMN(C477))</f>
        <v>0.2</v>
      </c>
      <c r="L478" s="5" cm="1">
        <f t="array" ref="L478">INDEX(products!$B$2:$E$49,MATCH($D478,products!$A$2:$A$49,0),COLUMN(D477))</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INDEX(products!$A$1:$G$49,MATCH($D479,products!$A$1:$A$49,0),MATCH(I$1,products!$A$1:$G$1,0))</f>
        <v>Lib</v>
      </c>
      <c r="J479" t="str" cm="1">
        <f t="array" ref="J479">INDEX(products!$B$2:$E$49,MATCH($D479,products!$A$2:$A$49,0),COLUMN(B478))</f>
        <v>M</v>
      </c>
      <c r="K479" s="4" cm="1">
        <f t="array" ref="K479">INDEX(products!$B$2:$E$49,MATCH($D479,products!$A$2:$A$49,0),COLUMN(C478))</f>
        <v>0.2</v>
      </c>
      <c r="L479" s="5" cm="1">
        <f t="array" ref="L479">INDEX(products!$B$2:$E$49,MATCH($D479,products!$A$2:$A$49,0),COLUMN(D478))</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INDEX(products!$A$1:$G$49,MATCH($D480,products!$A$1:$A$49,0),MATCH(I$1,products!$A$1:$G$1,0))</f>
        <v>Rob</v>
      </c>
      <c r="J480" t="str" cm="1">
        <f t="array" ref="J480">INDEX(products!$B$2:$E$49,MATCH($D480,products!$A$2:$A$49,0),COLUMN(B479))</f>
        <v>D</v>
      </c>
      <c r="K480" s="4" cm="1">
        <f t="array" ref="K480">INDEX(products!$B$2:$E$49,MATCH($D480,products!$A$2:$A$49,0),COLUMN(C479))</f>
        <v>1</v>
      </c>
      <c r="L480" s="5" cm="1">
        <f t="array" ref="L480">INDEX(products!$B$2:$E$49,MATCH($D480,products!$A$2:$A$49,0),COLUMN(D479))</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INDEX(products!$A$1:$G$49,MATCH($D481,products!$A$1:$A$49,0),MATCH(I$1,products!$A$1:$G$1,0))</f>
        <v>Exc</v>
      </c>
      <c r="J481" t="str" cm="1">
        <f t="array" ref="J481">INDEX(products!$B$2:$E$49,MATCH($D481,products!$A$2:$A$49,0),COLUMN(B480))</f>
        <v>M</v>
      </c>
      <c r="K481" s="4" cm="1">
        <f t="array" ref="K481">INDEX(products!$B$2:$E$49,MATCH($D481,products!$A$2:$A$49,0),COLUMN(C480))</f>
        <v>2.5</v>
      </c>
      <c r="L481" s="5" cm="1">
        <f t="array" ref="L481">INDEX(products!$B$2:$E$49,MATCH($D481,products!$A$2:$A$49,0),COLUMN(D480))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INDEX(products!$A$1:$G$49,MATCH($D482,products!$A$1:$A$49,0),MATCH(I$1,products!$A$1:$G$1,0))</f>
        <v>Exc</v>
      </c>
      <c r="J482" t="str" cm="1">
        <f t="array" ref="J482">INDEX(products!$B$2:$E$49,MATCH($D482,products!$A$2:$A$49,0),COLUMN(B481))</f>
        <v>M</v>
      </c>
      <c r="K482" s="4" cm="1">
        <f t="array" ref="K482">INDEX(products!$B$2:$E$49,MATCH($D482,products!$A$2:$A$49,0),COLUMN(C481))</f>
        <v>0.2</v>
      </c>
      <c r="L482" s="5" cm="1">
        <f t="array" ref="L482">INDEX(products!$B$2:$E$49,MATCH($D482,products!$A$2:$A$49,0),COLUMN(D481))</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INDEX(products!$A$1:$G$49,MATCH($D483,products!$A$1:$A$49,0),MATCH(I$1,products!$A$1:$G$1,0))</f>
        <v>Rob</v>
      </c>
      <c r="J483" t="str" cm="1">
        <f t="array" ref="J483">INDEX(products!$B$2:$E$49,MATCH($D483,products!$A$2:$A$49,0),COLUMN(B482))</f>
        <v>L</v>
      </c>
      <c r="K483" s="4" cm="1">
        <f t="array" ref="K483">INDEX(products!$B$2:$E$49,MATCH($D483,products!$A$2:$A$49,0),COLUMN(C482))</f>
        <v>1</v>
      </c>
      <c r="L483" s="5" cm="1">
        <f t="array" ref="L483">INDEX(products!$B$2:$E$49,MATCH($D483,products!$A$2:$A$49,0),COLUMN(D482))</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INDEX(products!$A$1:$G$49,MATCH($D484,products!$A$1:$A$49,0),MATCH(I$1,products!$A$1:$G$1,0))</f>
        <v>Exc</v>
      </c>
      <c r="J484" t="str" cm="1">
        <f t="array" ref="J484">INDEX(products!$B$2:$E$49,MATCH($D484,products!$A$2:$A$49,0),COLUMN(B483))</f>
        <v>D</v>
      </c>
      <c r="K484" s="4" cm="1">
        <f t="array" ref="K484">INDEX(products!$B$2:$E$49,MATCH($D484,products!$A$2:$A$49,0),COLUMN(C483))</f>
        <v>2.5</v>
      </c>
      <c r="L484" s="5" cm="1">
        <f t="array" ref="L484">INDEX(products!$B$2:$E$49,MATCH($D484,products!$A$2:$A$49,0),COLUMN(D483))</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f>
        <v>Orion Dyott</v>
      </c>
      <c r="G485" s="2" t="str">
        <f>IF(_xlfn.XLOOKUP(C485,customers!$A$1:$A$1001,customers!$C$1:$C$1001,,0)=0,"",(_xlfn.XLOOKUP(C485,customers!$A$1:$A$1001,customers!$C$1:$C$1001,,0)))</f>
        <v/>
      </c>
      <c r="H485" s="2" t="str">
        <f>_xlfn.XLOOKUP(C485,customers!$A$1:$A$1001,customers!$G$1:$G$1001,,0)</f>
        <v>United States</v>
      </c>
      <c r="I485" t="str">
        <f>INDEX(products!$A$1:$G$49,MATCH($D485,products!$A$1:$A$49,0),MATCH(I$1,products!$A$1:$G$1,0))</f>
        <v>Lib</v>
      </c>
      <c r="J485" t="str" cm="1">
        <f t="array" ref="J485">INDEX(products!$B$2:$E$49,MATCH($D485,products!$A$2:$A$49,0),COLUMN(B484))</f>
        <v>D</v>
      </c>
      <c r="K485" s="4" cm="1">
        <f t="array" ref="K485">INDEX(products!$B$2:$E$49,MATCH($D485,products!$A$2:$A$49,0),COLUMN(C484))</f>
        <v>2.5</v>
      </c>
      <c r="L485" s="5" cm="1">
        <f t="array" ref="L485">INDEX(products!$B$2:$E$49,MATCH($D485,products!$A$2:$A$49,0),COLUMN(D484))</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INDEX(products!$A$1:$G$49,MATCH($D486,products!$A$1:$A$49,0),MATCH(I$1,products!$A$1:$G$1,0))</f>
        <v>Lib</v>
      </c>
      <c r="J486" t="str" cm="1">
        <f t="array" ref="J486">INDEX(products!$B$2:$E$49,MATCH($D486,products!$A$2:$A$49,0),COLUMN(B485))</f>
        <v>L</v>
      </c>
      <c r="K486" s="4" cm="1">
        <f t="array" ref="K486">INDEX(products!$B$2:$E$49,MATCH($D486,products!$A$2:$A$49,0),COLUMN(C485))</f>
        <v>0.5</v>
      </c>
      <c r="L486" s="5" cm="1">
        <f t="array" ref="L486">INDEX(products!$B$2:$E$49,MATCH($D486,products!$A$2:$A$49,0),COLUMN(D485))</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INDEX(products!$A$1:$G$49,MATCH($D487,products!$A$1:$A$49,0),MATCH(I$1,products!$A$1:$G$1,0))</f>
        <v>Rob</v>
      </c>
      <c r="J487" t="str" cm="1">
        <f t="array" ref="J487">INDEX(products!$B$2:$E$49,MATCH($D487,products!$A$2:$A$49,0),COLUMN(B486))</f>
        <v>L</v>
      </c>
      <c r="K487" s="4" cm="1">
        <f t="array" ref="K487">INDEX(products!$B$2:$E$49,MATCH($D487,products!$A$2:$A$49,0),COLUMN(C486))</f>
        <v>0.2</v>
      </c>
      <c r="L487" s="5" cm="1">
        <f t="array" ref="L487">INDEX(products!$B$2:$E$49,MATCH($D487,products!$A$2:$A$49,0),COLUMN(D486))</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INDEX(products!$A$1:$G$49,MATCH($D488,products!$A$1:$A$49,0),MATCH(I$1,products!$A$1:$G$1,0))</f>
        <v>Lib</v>
      </c>
      <c r="J488" t="str" cm="1">
        <f t="array" ref="J488">INDEX(products!$B$2:$E$49,MATCH($D488,products!$A$2:$A$49,0),COLUMN(B487))</f>
        <v>M</v>
      </c>
      <c r="K488" s="4" cm="1">
        <f t="array" ref="K488">INDEX(products!$B$2:$E$49,MATCH($D488,products!$A$2:$A$49,0),COLUMN(C487))</f>
        <v>0.5</v>
      </c>
      <c r="L488" s="5" cm="1">
        <f t="array" ref="L488">INDEX(products!$B$2:$E$49,MATCH($D488,products!$A$2:$A$49,0),COLUMN(D487))</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INDEX(products!$A$1:$G$49,MATCH($D489,products!$A$1:$A$49,0),MATCH(I$1,products!$A$1:$G$1,0))</f>
        <v>Exc</v>
      </c>
      <c r="J489" t="str" cm="1">
        <f t="array" ref="J489">INDEX(products!$B$2:$E$49,MATCH($D489,products!$A$2:$A$49,0),COLUMN(B488))</f>
        <v>D</v>
      </c>
      <c r="K489" s="4" cm="1">
        <f t="array" ref="K489">INDEX(products!$B$2:$E$49,MATCH($D489,products!$A$2:$A$49,0),COLUMN(C488))</f>
        <v>1</v>
      </c>
      <c r="L489" s="5" cm="1">
        <f t="array" ref="L489">INDEX(products!$B$2:$E$49,MATCH($D489,products!$A$2:$A$49,0),COLUMN(D488))</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f>
        <v>Becky Semkins</v>
      </c>
      <c r="G490" s="2" t="str">
        <f>IF(_xlfn.XLOOKUP(C490,customers!$A$1:$A$1001,customers!$C$1:$C$1001,,0)=0,"",(_xlfn.XLOOKUP(C490,customers!$A$1:$A$1001,customers!$C$1:$C$1001,,0)))</f>
        <v>bsemkinsdk@unc.edu</v>
      </c>
      <c r="H490" s="2" t="str">
        <f>_xlfn.XLOOKUP(C490,customers!$A$1:$A$1001,customers!$G$1:$G$1001,,0)</f>
        <v>Ireland</v>
      </c>
      <c r="I490" t="str">
        <f>INDEX(products!$A$1:$G$49,MATCH($D490,products!$A$1:$A$49,0),MATCH(I$1,products!$A$1:$G$1,0))</f>
        <v>Rob</v>
      </c>
      <c r="J490" t="str" cm="1">
        <f t="array" ref="J490">INDEX(products!$B$2:$E$49,MATCH($D490,products!$A$2:$A$49,0),COLUMN(B489))</f>
        <v>M</v>
      </c>
      <c r="K490" s="4" cm="1">
        <f t="array" ref="K490">INDEX(products!$B$2:$E$49,MATCH($D490,products!$A$2:$A$49,0),COLUMN(C489))</f>
        <v>0.2</v>
      </c>
      <c r="L490" s="5" cm="1">
        <f t="array" ref="L490">INDEX(products!$B$2:$E$49,MATCH($D490,products!$A$2:$A$49,0),COLUMN(D489))</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INDEX(products!$A$1:$G$49,MATCH($D491,products!$A$1:$A$49,0),MATCH(I$1,products!$A$1:$G$1,0))</f>
        <v>Lib</v>
      </c>
      <c r="J491" t="str" cm="1">
        <f t="array" ref="J491">INDEX(products!$B$2:$E$49,MATCH($D491,products!$A$2:$A$49,0),COLUMN(B490))</f>
        <v>L</v>
      </c>
      <c r="K491" s="4" cm="1">
        <f t="array" ref="K491">INDEX(products!$B$2:$E$49,MATCH($D491,products!$A$2:$A$49,0),COLUMN(C490))</f>
        <v>1</v>
      </c>
      <c r="L491" s="5" cm="1">
        <f t="array" ref="L491">INDEX(products!$B$2:$E$49,MATCH($D491,products!$A$2:$A$49,0),COLUMN(D490))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INDEX(products!$A$1:$G$49,MATCH($D492,products!$A$1:$A$49,0),MATCH(I$1,products!$A$1:$G$1,0))</f>
        <v>Lib</v>
      </c>
      <c r="J492" t="str" cm="1">
        <f t="array" ref="J492">INDEX(products!$B$2:$E$49,MATCH($D492,products!$A$2:$A$49,0),COLUMN(B491))</f>
        <v>D</v>
      </c>
      <c r="K492" s="4" cm="1">
        <f t="array" ref="K492">INDEX(products!$B$2:$E$49,MATCH($D492,products!$A$2:$A$49,0),COLUMN(C491))</f>
        <v>0.5</v>
      </c>
      <c r="L492" s="5" cm="1">
        <f t="array" ref="L492">INDEX(products!$B$2:$E$49,MATCH($D492,products!$A$2:$A$49,0),COLUMN(D491))</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f>
        <v>Kendra Backshell</v>
      </c>
      <c r="G493" s="2" t="str">
        <f>IF(_xlfn.XLOOKUP(C493,customers!$A$1:$A$1001,customers!$C$1:$C$1001,,0)=0,"",(_xlfn.XLOOKUP(C493,customers!$A$1:$A$1001,customers!$C$1:$C$1001,,0)))</f>
        <v/>
      </c>
      <c r="H493" s="2" t="str">
        <f>_xlfn.XLOOKUP(C493,customers!$A$1:$A$1001,customers!$G$1:$G$1001,,0)</f>
        <v>United States</v>
      </c>
      <c r="I493" t="str">
        <f>INDEX(products!$A$1:$G$49,MATCH($D493,products!$A$1:$A$49,0),MATCH(I$1,products!$A$1:$G$1,0))</f>
        <v>Lib</v>
      </c>
      <c r="J493" t="str" cm="1">
        <f t="array" ref="J493">INDEX(products!$B$2:$E$49,MATCH($D493,products!$A$2:$A$49,0),COLUMN(B492))</f>
        <v>D</v>
      </c>
      <c r="K493" s="4" cm="1">
        <f t="array" ref="K493">INDEX(products!$B$2:$E$49,MATCH($D493,products!$A$2:$A$49,0),COLUMN(C492))</f>
        <v>0.2</v>
      </c>
      <c r="L493" s="5" cm="1">
        <f t="array" ref="L493">INDEX(products!$B$2:$E$49,MATCH($D493,products!$A$2:$A$49,0),COLUMN(D492))</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INDEX(products!$A$1:$G$49,MATCH($D494,products!$A$1:$A$49,0),MATCH(I$1,products!$A$1:$G$1,0))</f>
        <v>Exc</v>
      </c>
      <c r="J494" t="str" cm="1">
        <f t="array" ref="J494">INDEX(products!$B$2:$E$49,MATCH($D494,products!$A$2:$A$49,0),COLUMN(B493))</f>
        <v>M</v>
      </c>
      <c r="K494" s="4" cm="1">
        <f t="array" ref="K494">INDEX(products!$B$2:$E$49,MATCH($D494,products!$A$2:$A$49,0),COLUMN(C493))</f>
        <v>0.2</v>
      </c>
      <c r="L494" s="5" cm="1">
        <f t="array" ref="L494">INDEX(products!$B$2:$E$49,MATCH($D494,products!$A$2:$A$49,0),COLUMN(D493))</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INDEX(products!$A$1:$G$49,MATCH($D495,products!$A$1:$A$49,0),MATCH(I$1,products!$A$1:$G$1,0))</f>
        <v>Rob</v>
      </c>
      <c r="J495" t="str" cm="1">
        <f t="array" ref="J495">INDEX(products!$B$2:$E$49,MATCH($D495,products!$A$2:$A$49,0),COLUMN(B494))</f>
        <v>M</v>
      </c>
      <c r="K495" s="4" cm="1">
        <f t="array" ref="K495">INDEX(products!$B$2:$E$49,MATCH($D495,products!$A$2:$A$49,0),COLUMN(C494))</f>
        <v>0.5</v>
      </c>
      <c r="L495" s="5" cm="1">
        <f t="array" ref="L495">INDEX(products!$B$2:$E$49,MATCH($D495,products!$A$2:$A$49,0),COLUMN(D494))</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INDEX(products!$A$1:$G$49,MATCH($D496,products!$A$1:$A$49,0),MATCH(I$1,products!$A$1:$G$1,0))</f>
        <v>Lib</v>
      </c>
      <c r="J496" t="str" cm="1">
        <f t="array" ref="J496">INDEX(products!$B$2:$E$49,MATCH($D496,products!$A$2:$A$49,0),COLUMN(B495))</f>
        <v>L</v>
      </c>
      <c r="K496" s="4" cm="1">
        <f t="array" ref="K496">INDEX(products!$B$2:$E$49,MATCH($D496,products!$A$2:$A$49,0),COLUMN(C495))</f>
        <v>1</v>
      </c>
      <c r="L496" s="5" cm="1">
        <f t="array" ref="L496">INDEX(products!$B$2:$E$49,MATCH($D496,products!$A$2:$A$49,0),COLUMN(D495))</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f>
        <v>Currey MacAllister</v>
      </c>
      <c r="G497" s="2" t="str">
        <f>IF(_xlfn.XLOOKUP(C497,customers!$A$1:$A$1001,customers!$C$1:$C$1001,,0)=0,"",(_xlfn.XLOOKUP(C497,customers!$A$1:$A$1001,customers!$C$1:$C$1001,,0)))</f>
        <v/>
      </c>
      <c r="H497" s="2" t="str">
        <f>_xlfn.XLOOKUP(C497,customers!$A$1:$A$1001,customers!$G$1:$G$1001,,0)</f>
        <v>United States</v>
      </c>
      <c r="I497" t="str">
        <f>INDEX(products!$A$1:$G$49,MATCH($D497,products!$A$1:$A$49,0),MATCH(I$1,products!$A$1:$G$1,0))</f>
        <v>Lib</v>
      </c>
      <c r="J497" t="str" cm="1">
        <f t="array" ref="J497">INDEX(products!$B$2:$E$49,MATCH($D497,products!$A$2:$A$49,0),COLUMN(B496))</f>
        <v>L</v>
      </c>
      <c r="K497" s="4" cm="1">
        <f t="array" ref="K497">INDEX(products!$B$2:$E$49,MATCH($D497,products!$A$2:$A$49,0),COLUMN(C496))</f>
        <v>1</v>
      </c>
      <c r="L497" s="5" cm="1">
        <f t="array" ref="L497">INDEX(products!$B$2:$E$49,MATCH($D497,products!$A$2:$A$49,0),COLUMN(D496))</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INDEX(products!$A$1:$G$49,MATCH($D498,products!$A$1:$A$49,0),MATCH(I$1,products!$A$1:$G$1,0))</f>
        <v>Exc</v>
      </c>
      <c r="J498" t="str" cm="1">
        <f t="array" ref="J498">INDEX(products!$B$2:$E$49,MATCH($D498,products!$A$2:$A$49,0),COLUMN(B497))</f>
        <v>D</v>
      </c>
      <c r="K498" s="4" cm="1">
        <f t="array" ref="K498">INDEX(products!$B$2:$E$49,MATCH($D498,products!$A$2:$A$49,0),COLUMN(C497))</f>
        <v>0.2</v>
      </c>
      <c r="L498" s="5" cm="1">
        <f t="array" ref="L498">INDEX(products!$B$2:$E$49,MATCH($D498,products!$A$2:$A$49,0),COLUMN(D497))</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f>
        <v>Chantal Mersh</v>
      </c>
      <c r="G499" s="2" t="str">
        <f>IF(_xlfn.XLOOKUP(C499,customers!$A$1:$A$1001,customers!$C$1:$C$1001,,0)=0,"",(_xlfn.XLOOKUP(C499,customers!$A$1:$A$1001,customers!$C$1:$C$1001,,0)))</f>
        <v>cmershdt@drupal.org</v>
      </c>
      <c r="H499" s="2" t="str">
        <f>_xlfn.XLOOKUP(C499,customers!$A$1:$A$1001,customers!$G$1:$G$1001,,0)</f>
        <v>Ireland</v>
      </c>
      <c r="I499" t="str">
        <f>INDEX(products!$A$1:$G$49,MATCH($D499,products!$A$1:$A$49,0),MATCH(I$1,products!$A$1:$G$1,0))</f>
        <v>Ara</v>
      </c>
      <c r="J499" t="str" cm="1">
        <f t="array" ref="J499">INDEX(products!$B$2:$E$49,MATCH($D499,products!$A$2:$A$49,0),COLUMN(B498))</f>
        <v>D</v>
      </c>
      <c r="K499" s="4" cm="1">
        <f t="array" ref="K499">INDEX(products!$B$2:$E$49,MATCH($D499,products!$A$2:$A$49,0),COLUMN(C498))</f>
        <v>1</v>
      </c>
      <c r="L499" s="5" cm="1">
        <f t="array" ref="L499">INDEX(products!$B$2:$E$49,MATCH($D499,products!$A$2:$A$49,0),COLUMN(D498))</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f>
        <v>Marja Urion</v>
      </c>
      <c r="G500" s="2" t="str">
        <f>IF(_xlfn.XLOOKUP(C500,customers!$A$1:$A$1001,customers!$C$1:$C$1001,,0)=0,"",(_xlfn.XLOOKUP(C500,customers!$A$1:$A$1001,customers!$C$1:$C$1001,,0)))</f>
        <v>murione5@alexa.com</v>
      </c>
      <c r="H500" s="2" t="str">
        <f>_xlfn.XLOOKUP(C500,customers!$A$1:$A$1001,customers!$G$1:$G$1001,,0)</f>
        <v>Ireland</v>
      </c>
      <c r="I500" t="str">
        <f>INDEX(products!$A$1:$G$49,MATCH($D500,products!$A$1:$A$49,0),MATCH(I$1,products!$A$1:$G$1,0))</f>
        <v>Rob</v>
      </c>
      <c r="J500" t="str" cm="1">
        <f t="array" ref="J500">INDEX(products!$B$2:$E$49,MATCH($D500,products!$A$2:$A$49,0),COLUMN(B499))</f>
        <v>M</v>
      </c>
      <c r="K500" s="4" cm="1">
        <f t="array" ref="K500">INDEX(products!$B$2:$E$49,MATCH($D500,products!$A$2:$A$49,0),COLUMN(C499))</f>
        <v>1</v>
      </c>
      <c r="L500" s="5" cm="1">
        <f t="array" ref="L500">INDEX(products!$B$2:$E$49,MATCH($D500,products!$A$2:$A$49,0),COLUMN(D499))</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f>
        <v>Malynda Purbrick</v>
      </c>
      <c r="G501" s="2" t="str">
        <f>IF(_xlfn.XLOOKUP(C501,customers!$A$1:$A$1001,customers!$C$1:$C$1001,,0)=0,"",(_xlfn.XLOOKUP(C501,customers!$A$1:$A$1001,customers!$C$1:$C$1001,,0)))</f>
        <v/>
      </c>
      <c r="H501" s="2" t="str">
        <f>_xlfn.XLOOKUP(C501,customers!$A$1:$A$1001,customers!$G$1:$G$1001,,0)</f>
        <v>Ireland</v>
      </c>
      <c r="I501" t="str">
        <f>INDEX(products!$A$1:$G$49,MATCH($D501,products!$A$1:$A$49,0),MATCH(I$1,products!$A$1:$G$1,0))</f>
        <v>Rob</v>
      </c>
      <c r="J501" t="str" cm="1">
        <f t="array" ref="J501">INDEX(products!$B$2:$E$49,MATCH($D501,products!$A$2:$A$49,0),COLUMN(B500))</f>
        <v>D</v>
      </c>
      <c r="K501" s="4" cm="1">
        <f t="array" ref="K501">INDEX(products!$B$2:$E$49,MATCH($D501,products!$A$2:$A$49,0),COLUMN(C500))</f>
        <v>0.2</v>
      </c>
      <c r="L501" s="5" cm="1">
        <f t="array" ref="L501">INDEX(products!$B$2:$E$49,MATCH($D501,products!$A$2:$A$49,0),COLUMN(D500))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f>
        <v>Alf Housaman</v>
      </c>
      <c r="G502" s="2" t="str">
        <f>IF(_xlfn.XLOOKUP(C502,customers!$A$1:$A$1001,customers!$C$1:$C$1001,,0)=0,"",(_xlfn.XLOOKUP(C502,customers!$A$1:$A$1001,customers!$C$1:$C$1001,,0)))</f>
        <v/>
      </c>
      <c r="H502" s="2" t="str">
        <f>_xlfn.XLOOKUP(C502,customers!$A$1:$A$1001,customers!$G$1:$G$1001,,0)</f>
        <v>United States</v>
      </c>
      <c r="I502" t="str">
        <f>INDEX(products!$A$1:$G$49,MATCH($D502,products!$A$1:$A$49,0),MATCH(I$1,products!$A$1:$G$1,0))</f>
        <v>Rob</v>
      </c>
      <c r="J502" t="str" cm="1">
        <f t="array" ref="J502">INDEX(products!$B$2:$E$49,MATCH($D502,products!$A$2:$A$49,0),COLUMN(B501))</f>
        <v>L</v>
      </c>
      <c r="K502" s="4" cm="1">
        <f t="array" ref="K502">INDEX(products!$B$2:$E$49,MATCH($D502,products!$A$2:$A$49,0),COLUMN(C501))</f>
        <v>1</v>
      </c>
      <c r="L502" s="5" cm="1">
        <f t="array" ref="L502">INDEX(products!$B$2:$E$49,MATCH($D502,products!$A$2:$A$49,0),COLUMN(D501))</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INDEX(products!$A$1:$G$49,MATCH($D503,products!$A$1:$A$49,0),MATCH(I$1,products!$A$1:$G$1,0))</f>
        <v>Rob</v>
      </c>
      <c r="J503" t="str" cm="1">
        <f t="array" ref="J503">INDEX(products!$B$2:$E$49,MATCH($D503,products!$A$2:$A$49,0),COLUMN(B502))</f>
        <v>M</v>
      </c>
      <c r="K503" s="4" cm="1">
        <f t="array" ref="K503">INDEX(products!$B$2:$E$49,MATCH($D503,products!$A$2:$A$49,0),COLUMN(C502))</f>
        <v>0.2</v>
      </c>
      <c r="L503" s="5" cm="1">
        <f t="array" ref="L503">INDEX(products!$B$2:$E$49,MATCH($D503,products!$A$2:$A$49,0),COLUMN(D502))</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INDEX(products!$A$1:$G$49,MATCH($D504,products!$A$1:$A$49,0),MATCH(I$1,products!$A$1:$G$1,0))</f>
        <v>Exc</v>
      </c>
      <c r="J504" t="str" cm="1">
        <f t="array" ref="J504">INDEX(products!$B$2:$E$49,MATCH($D504,products!$A$2:$A$49,0),COLUMN(B503))</f>
        <v>M</v>
      </c>
      <c r="K504" s="4" cm="1">
        <f t="array" ref="K504">INDEX(products!$B$2:$E$49,MATCH($D504,products!$A$2:$A$49,0),COLUMN(C503))</f>
        <v>0.2</v>
      </c>
      <c r="L504" s="5" cm="1">
        <f t="array" ref="L504">INDEX(products!$B$2:$E$49,MATCH($D504,products!$A$2:$A$49,0),COLUMN(D503))</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INDEX(products!$A$1:$G$49,MATCH($D505,products!$A$1:$A$49,0),MATCH(I$1,products!$A$1:$G$1,0))</f>
        <v>Lib</v>
      </c>
      <c r="J505" t="str" cm="1">
        <f t="array" ref="J505">INDEX(products!$B$2:$E$49,MATCH($D505,products!$A$2:$A$49,0),COLUMN(B504))</f>
        <v>D</v>
      </c>
      <c r="K505" s="4" cm="1">
        <f t="array" ref="K505">INDEX(products!$B$2:$E$49,MATCH($D505,products!$A$2:$A$49,0),COLUMN(C504))</f>
        <v>1</v>
      </c>
      <c r="L505" s="5" cm="1">
        <f t="array" ref="L505">INDEX(products!$B$2:$E$49,MATCH($D505,products!$A$2:$A$49,0),COLUMN(D504))</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INDEX(products!$A$1:$G$49,MATCH($D506,products!$A$1:$A$49,0),MATCH(I$1,products!$A$1:$G$1,0))</f>
        <v>Lib</v>
      </c>
      <c r="J506" t="str" cm="1">
        <f t="array" ref="J506">INDEX(products!$B$2:$E$49,MATCH($D506,products!$A$2:$A$49,0),COLUMN(B505))</f>
        <v>L</v>
      </c>
      <c r="K506" s="4" cm="1">
        <f t="array" ref="K506">INDEX(products!$B$2:$E$49,MATCH($D506,products!$A$2:$A$49,0),COLUMN(C505))</f>
        <v>0.2</v>
      </c>
      <c r="L506" s="5" cm="1">
        <f t="array" ref="L506">INDEX(products!$B$2:$E$49,MATCH($D506,products!$A$2:$A$49,0),COLUMN(D505))</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INDEX(products!$A$1:$G$49,MATCH($D507,products!$A$1:$A$49,0),MATCH(I$1,products!$A$1:$G$1,0))</f>
        <v>Lib</v>
      </c>
      <c r="J507" t="str" cm="1">
        <f t="array" ref="J507">INDEX(products!$B$2:$E$49,MATCH($D507,products!$A$2:$A$49,0),COLUMN(B506))</f>
        <v>M</v>
      </c>
      <c r="K507" s="4" cm="1">
        <f t="array" ref="K507">INDEX(products!$B$2:$E$49,MATCH($D507,products!$A$2:$A$49,0),COLUMN(C506))</f>
        <v>0.2</v>
      </c>
      <c r="L507" s="5" cm="1">
        <f t="array" ref="L507">INDEX(products!$B$2:$E$49,MATCH($D507,products!$A$2:$A$49,0),COLUMN(D506))</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INDEX(products!$A$1:$G$49,MATCH($D508,products!$A$1:$A$49,0),MATCH(I$1,products!$A$1:$G$1,0))</f>
        <v>Ara</v>
      </c>
      <c r="J508" t="str" cm="1">
        <f t="array" ref="J508">INDEX(products!$B$2:$E$49,MATCH($D508,products!$A$2:$A$49,0),COLUMN(B507))</f>
        <v>L</v>
      </c>
      <c r="K508" s="4" cm="1">
        <f t="array" ref="K508">INDEX(products!$B$2:$E$49,MATCH($D508,products!$A$2:$A$49,0),COLUMN(C507))</f>
        <v>1</v>
      </c>
      <c r="L508" s="5" cm="1">
        <f t="array" ref="L508">INDEX(products!$B$2:$E$49,MATCH($D508,products!$A$2:$A$49,0),COLUMN(D507))</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INDEX(products!$A$1:$G$49,MATCH($D509,products!$A$1:$A$49,0),MATCH(I$1,products!$A$1:$G$1,0))</f>
        <v>Ara</v>
      </c>
      <c r="J509" t="str" cm="1">
        <f t="array" ref="J509">INDEX(products!$B$2:$E$49,MATCH($D509,products!$A$2:$A$49,0),COLUMN(B508))</f>
        <v>L</v>
      </c>
      <c r="K509" s="4" cm="1">
        <f t="array" ref="K509">INDEX(products!$B$2:$E$49,MATCH($D509,products!$A$2:$A$49,0),COLUMN(C508))</f>
        <v>2.5</v>
      </c>
      <c r="L509" s="5" cm="1">
        <f t="array" ref="L509">INDEX(products!$B$2:$E$49,MATCH($D509,products!$A$2:$A$49,0),COLUMN(D508))</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INDEX(products!$A$1:$G$49,MATCH($D510,products!$A$1:$A$49,0),MATCH(I$1,products!$A$1:$G$1,0))</f>
        <v>Lib</v>
      </c>
      <c r="J510" t="str" cm="1">
        <f t="array" ref="J510">INDEX(products!$B$2:$E$49,MATCH($D510,products!$A$2:$A$49,0),COLUMN(B509))</f>
        <v>D</v>
      </c>
      <c r="K510" s="4" cm="1">
        <f t="array" ref="K510">INDEX(products!$B$2:$E$49,MATCH($D510,products!$A$2:$A$49,0),COLUMN(C509))</f>
        <v>0.5</v>
      </c>
      <c r="L510" s="5" cm="1">
        <f t="array" ref="L510">INDEX(products!$B$2:$E$49,MATCH($D510,products!$A$2:$A$49,0),COLUMN(D509))</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f>
        <v>Marja Urion</v>
      </c>
      <c r="G511" s="2" t="str">
        <f>IF(_xlfn.XLOOKUP(C511,customers!$A$1:$A$1001,customers!$C$1:$C$1001,,0)=0,"",(_xlfn.XLOOKUP(C511,customers!$A$1:$A$1001,customers!$C$1:$C$1001,,0)))</f>
        <v>murione5@alexa.com</v>
      </c>
      <c r="H511" s="2" t="str">
        <f>_xlfn.XLOOKUP(C511,customers!$A$1:$A$1001,customers!$G$1:$G$1001,,0)</f>
        <v>Ireland</v>
      </c>
      <c r="I511" t="str">
        <f>INDEX(products!$A$1:$G$49,MATCH($D511,products!$A$1:$A$49,0),MATCH(I$1,products!$A$1:$G$1,0))</f>
        <v>Ara</v>
      </c>
      <c r="J511" t="str" cm="1">
        <f t="array" ref="J511">INDEX(products!$B$2:$E$49,MATCH($D511,products!$A$2:$A$49,0),COLUMN(B510))</f>
        <v>D</v>
      </c>
      <c r="K511" s="4" cm="1">
        <f t="array" ref="K511">INDEX(products!$B$2:$E$49,MATCH($D511,products!$A$2:$A$49,0),COLUMN(C510))</f>
        <v>1</v>
      </c>
      <c r="L511" s="5" cm="1">
        <f t="array" ref="L511">INDEX(products!$B$2:$E$49,MATCH($D511,products!$A$2:$A$49,0),COLUMN(D510))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f>
        <v>Camellia Kid</v>
      </c>
      <c r="G512" s="2" t="str">
        <f>IF(_xlfn.XLOOKUP(C512,customers!$A$1:$A$1001,customers!$C$1:$C$1001,,0)=0,"",(_xlfn.XLOOKUP(C512,customers!$A$1:$A$1001,customers!$C$1:$C$1001,,0)))</f>
        <v>ckide6@narod.ru</v>
      </c>
      <c r="H512" s="2" t="str">
        <f>_xlfn.XLOOKUP(C512,customers!$A$1:$A$1001,customers!$G$1:$G$1001,,0)</f>
        <v>Ireland</v>
      </c>
      <c r="I512" t="str">
        <f>INDEX(products!$A$1:$G$49,MATCH($D512,products!$A$1:$A$49,0),MATCH(I$1,products!$A$1:$G$1,0))</f>
        <v>Rob</v>
      </c>
      <c r="J512" t="str" cm="1">
        <f t="array" ref="J512">INDEX(products!$B$2:$E$49,MATCH($D512,products!$A$2:$A$49,0),COLUMN(B511))</f>
        <v>L</v>
      </c>
      <c r="K512" s="4" cm="1">
        <f t="array" ref="K512">INDEX(products!$B$2:$E$49,MATCH($D512,products!$A$2:$A$49,0),COLUMN(C511))</f>
        <v>0.2</v>
      </c>
      <c r="L512" s="5" cm="1">
        <f t="array" ref="L512">INDEX(products!$B$2:$E$49,MATCH($D512,products!$A$2:$A$49,0),COLUMN(D511))</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INDEX(products!$A$1:$G$49,MATCH($D513,products!$A$1:$A$49,0),MATCH(I$1,products!$A$1:$G$1,0))</f>
        <v>Ara</v>
      </c>
      <c r="J513" t="str" cm="1">
        <f t="array" ref="J513">INDEX(products!$B$2:$E$49,MATCH($D513,products!$A$2:$A$49,0),COLUMN(B512))</f>
        <v>M</v>
      </c>
      <c r="K513" s="4" cm="1">
        <f t="array" ref="K513">INDEX(products!$B$2:$E$49,MATCH($D513,products!$A$2:$A$49,0),COLUMN(C512))</f>
        <v>0.2</v>
      </c>
      <c r="L513" s="5" cm="1">
        <f t="array" ref="L513">INDEX(products!$B$2:$E$49,MATCH($D513,products!$A$2:$A$49,0),COLUMN(D512))</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INDEX(products!$A$1:$G$49,MATCH($D514,products!$A$1:$A$49,0),MATCH(I$1,products!$A$1:$G$1,0))</f>
        <v>Lib</v>
      </c>
      <c r="J514" t="str" cm="1">
        <f t="array" ref="J514">INDEX(products!$B$2:$E$49,MATCH($D514,products!$A$2:$A$49,0),COLUMN(B513))</f>
        <v>L</v>
      </c>
      <c r="K514" s="4" cm="1">
        <f t="array" ref="K514">INDEX(products!$B$2:$E$49,MATCH($D514,products!$A$2:$A$49,0),COLUMN(C513))</f>
        <v>1</v>
      </c>
      <c r="L514" s="5" cm="1">
        <f t="array" ref="L514">INDEX(products!$B$2:$E$49,MATCH($D514,products!$A$2:$A$49,0),COLUMN(D513))</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INDEX(products!$A$1:$G$49,MATCH($D515,products!$A$1:$A$49,0),MATCH(I$1,products!$A$1:$G$1,0))</f>
        <v>Lib</v>
      </c>
      <c r="J515" t="str" cm="1">
        <f t="array" ref="J515">INDEX(products!$B$2:$E$49,MATCH($D515,products!$A$2:$A$49,0),COLUMN(B514))</f>
        <v>L</v>
      </c>
      <c r="K515" s="4" cm="1">
        <f t="array" ref="K515">INDEX(products!$B$2:$E$49,MATCH($D515,products!$A$2:$A$49,0),COLUMN(C514))</f>
        <v>1</v>
      </c>
      <c r="L515" s="5" cm="1">
        <f t="array" ref="L515">INDEX(products!$B$2:$E$49,MATCH($D515,products!$A$2:$A$49,0),COLUMN(D514))</f>
        <v>15.85</v>
      </c>
      <c r="M515" s="5">
        <f t="shared" ref="M515:M578" si="24">E515*L515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INDEX(products!$A$1:$G$49,MATCH($D516,products!$A$1:$A$49,0),MATCH(I$1,products!$A$1:$G$1,0))</f>
        <v>Lib</v>
      </c>
      <c r="J516" t="str" cm="1">
        <f t="array" ref="J516">INDEX(products!$B$2:$E$49,MATCH($D516,products!$A$2:$A$49,0),COLUMN(B515))</f>
        <v>M</v>
      </c>
      <c r="K516" s="4" cm="1">
        <f t="array" ref="K516">INDEX(products!$B$2:$E$49,MATCH($D516,products!$A$2:$A$49,0),COLUMN(C515))</f>
        <v>0.2</v>
      </c>
      <c r="L516" s="5" cm="1">
        <f t="array" ref="L516">INDEX(products!$B$2:$E$49,MATCH($D516,products!$A$2:$A$49,0),COLUMN(D515))</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INDEX(products!$A$1:$G$49,MATCH($D517,products!$A$1:$A$49,0),MATCH(I$1,products!$A$1:$G$1,0))</f>
        <v>Rob</v>
      </c>
      <c r="J517" t="str" cm="1">
        <f t="array" ref="J517">INDEX(products!$B$2:$E$49,MATCH($D517,products!$A$2:$A$49,0),COLUMN(B516))</f>
        <v>L</v>
      </c>
      <c r="K517" s="4" cm="1">
        <f t="array" ref="K517">INDEX(products!$B$2:$E$49,MATCH($D517,products!$A$2:$A$49,0),COLUMN(C516))</f>
        <v>0.5</v>
      </c>
      <c r="L517" s="5" cm="1">
        <f t="array" ref="L517">INDEX(products!$B$2:$E$49,MATCH($D517,products!$A$2:$A$49,0),COLUMN(D516))</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f>
        <v>Cindra Burling</v>
      </c>
      <c r="G518" s="2" t="str">
        <f>IF(_xlfn.XLOOKUP(C518,customers!$A$1:$A$1001,customers!$C$1:$C$1001,,0)=0,"",(_xlfn.XLOOKUP(C518,customers!$A$1:$A$1001,customers!$C$1:$C$1001,,0)))</f>
        <v/>
      </c>
      <c r="H518" s="2" t="str">
        <f>_xlfn.XLOOKUP(C518,customers!$A$1:$A$1001,customers!$G$1:$G$1001,,0)</f>
        <v>United States</v>
      </c>
      <c r="I518" t="str">
        <f>INDEX(products!$A$1:$G$49,MATCH($D518,products!$A$1:$A$49,0),MATCH(I$1,products!$A$1:$G$1,0))</f>
        <v>Rob</v>
      </c>
      <c r="J518" t="str" cm="1">
        <f t="array" ref="J518">INDEX(products!$B$2:$E$49,MATCH($D518,products!$A$2:$A$49,0),COLUMN(B517))</f>
        <v>D</v>
      </c>
      <c r="K518" s="4" cm="1">
        <f t="array" ref="K518">INDEX(products!$B$2:$E$49,MATCH($D518,products!$A$2:$A$49,0),COLUMN(C517))</f>
        <v>2.5</v>
      </c>
      <c r="L518" s="5" cm="1">
        <f t="array" ref="L518">INDEX(products!$B$2:$E$49,MATCH($D518,products!$A$2:$A$49,0),COLUMN(D517))</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f>
        <v>Channa Belamy</v>
      </c>
      <c r="G519" s="2" t="str">
        <f>IF(_xlfn.XLOOKUP(C519,customers!$A$1:$A$1001,customers!$C$1:$C$1001,,0)=0,"",(_xlfn.XLOOKUP(C519,customers!$A$1:$A$1001,customers!$C$1:$C$1001,,0)))</f>
        <v/>
      </c>
      <c r="H519" s="2" t="str">
        <f>_xlfn.XLOOKUP(C519,customers!$A$1:$A$1001,customers!$G$1:$G$1001,,0)</f>
        <v>United States</v>
      </c>
      <c r="I519" t="str">
        <f>INDEX(products!$A$1:$G$49,MATCH($D519,products!$A$1:$A$49,0),MATCH(I$1,products!$A$1:$G$1,0))</f>
        <v>Lib</v>
      </c>
      <c r="J519" t="str" cm="1">
        <f t="array" ref="J519">INDEX(products!$B$2:$E$49,MATCH($D519,products!$A$2:$A$49,0),COLUMN(B518))</f>
        <v>D</v>
      </c>
      <c r="K519" s="4" cm="1">
        <f t="array" ref="K519">INDEX(products!$B$2:$E$49,MATCH($D519,products!$A$2:$A$49,0),COLUMN(C518))</f>
        <v>0.2</v>
      </c>
      <c r="L519" s="5" cm="1">
        <f t="array" ref="L519">INDEX(products!$B$2:$E$49,MATCH($D519,products!$A$2:$A$49,0),COLUMN(D518))</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INDEX(products!$A$1:$G$49,MATCH($D520,products!$A$1:$A$49,0),MATCH(I$1,products!$A$1:$G$1,0))</f>
        <v>Exc</v>
      </c>
      <c r="J520" t="str" cm="1">
        <f t="array" ref="J520">INDEX(products!$B$2:$E$49,MATCH($D520,products!$A$2:$A$49,0),COLUMN(B519))</f>
        <v>D</v>
      </c>
      <c r="K520" s="4" cm="1">
        <f t="array" ref="K520">INDEX(products!$B$2:$E$49,MATCH($D520,products!$A$2:$A$49,0),COLUMN(C519))</f>
        <v>2.5</v>
      </c>
      <c r="L520" s="5" cm="1">
        <f t="array" ref="L520">INDEX(products!$B$2:$E$49,MATCH($D520,products!$A$2:$A$49,0),COLUMN(D519))</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f>
        <v>Marja Urion</v>
      </c>
      <c r="G521" s="2" t="str">
        <f>IF(_xlfn.XLOOKUP(C521,customers!$A$1:$A$1001,customers!$C$1:$C$1001,,0)=0,"",(_xlfn.XLOOKUP(C521,customers!$A$1:$A$1001,customers!$C$1:$C$1001,,0)))</f>
        <v>murione5@alexa.com</v>
      </c>
      <c r="H521" s="2" t="str">
        <f>_xlfn.XLOOKUP(C521,customers!$A$1:$A$1001,customers!$G$1:$G$1001,,0)</f>
        <v>Ireland</v>
      </c>
      <c r="I521" t="str">
        <f>INDEX(products!$A$1:$G$49,MATCH($D521,products!$A$1:$A$49,0),MATCH(I$1,products!$A$1:$G$1,0))</f>
        <v>Ara</v>
      </c>
      <c r="J521" t="str" cm="1">
        <f t="array" ref="J521">INDEX(products!$B$2:$E$49,MATCH($D521,products!$A$2:$A$49,0),COLUMN(B520))</f>
        <v>D</v>
      </c>
      <c r="K521" s="4" cm="1">
        <f t="array" ref="K521">INDEX(products!$B$2:$E$49,MATCH($D521,products!$A$2:$A$49,0),COLUMN(C520))</f>
        <v>0.5</v>
      </c>
      <c r="L521" s="5" cm="1">
        <f t="array" ref="L521">INDEX(products!$B$2:$E$49,MATCH($D521,products!$A$2:$A$49,0),COLUMN(D520))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INDEX(products!$A$1:$G$49,MATCH($D522,products!$A$1:$A$49,0),MATCH(I$1,products!$A$1:$G$1,0))</f>
        <v>Lib</v>
      </c>
      <c r="J522" t="str" cm="1">
        <f t="array" ref="J522">INDEX(products!$B$2:$E$49,MATCH($D522,products!$A$2:$A$49,0),COLUMN(B521))</f>
        <v>D</v>
      </c>
      <c r="K522" s="4" cm="1">
        <f t="array" ref="K522">INDEX(products!$B$2:$E$49,MATCH($D522,products!$A$2:$A$49,0),COLUMN(C521))</f>
        <v>0.2</v>
      </c>
      <c r="L522" s="5" cm="1">
        <f t="array" ref="L522">INDEX(products!$B$2:$E$49,MATCH($D522,products!$A$2:$A$49,0),COLUMN(D521))</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INDEX(products!$A$1:$G$49,MATCH($D523,products!$A$1:$A$49,0),MATCH(I$1,products!$A$1:$G$1,0))</f>
        <v>Rob</v>
      </c>
      <c r="J523" t="str" cm="1">
        <f t="array" ref="J523">INDEX(products!$B$2:$E$49,MATCH($D523,products!$A$2:$A$49,0),COLUMN(B522))</f>
        <v>M</v>
      </c>
      <c r="K523" s="4" cm="1">
        <f t="array" ref="K523">INDEX(products!$B$2:$E$49,MATCH($D523,products!$A$2:$A$49,0),COLUMN(C522))</f>
        <v>1</v>
      </c>
      <c r="L523" s="5" cm="1">
        <f t="array" ref="L523">INDEX(products!$B$2:$E$49,MATCH($D523,products!$A$2:$A$49,0),COLUMN(D522))</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INDEX(products!$A$1:$G$49,MATCH($D524,products!$A$1:$A$49,0),MATCH(I$1,products!$A$1:$G$1,0))</f>
        <v>Rob</v>
      </c>
      <c r="J524" t="str" cm="1">
        <f t="array" ref="J524">INDEX(products!$B$2:$E$49,MATCH($D524,products!$A$2:$A$49,0),COLUMN(B523))</f>
        <v>M</v>
      </c>
      <c r="K524" s="4" cm="1">
        <f t="array" ref="K524">INDEX(products!$B$2:$E$49,MATCH($D524,products!$A$2:$A$49,0),COLUMN(C523))</f>
        <v>0.5</v>
      </c>
      <c r="L524" s="5" cm="1">
        <f t="array" ref="L524">INDEX(products!$B$2:$E$49,MATCH($D524,products!$A$2:$A$49,0),COLUMN(D523))</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f>
        <v>Berty Beelby</v>
      </c>
      <c r="G525" s="2" t="str">
        <f>IF(_xlfn.XLOOKUP(C525,customers!$A$1:$A$1001,customers!$C$1:$C$1001,,0)=0,"",(_xlfn.XLOOKUP(C525,customers!$A$1:$A$1001,customers!$C$1:$C$1001,,0)))</f>
        <v>bbeelbyej@rediff.com</v>
      </c>
      <c r="H525" s="2" t="str">
        <f>_xlfn.XLOOKUP(C525,customers!$A$1:$A$1001,customers!$G$1:$G$1001,,0)</f>
        <v>Ireland</v>
      </c>
      <c r="I525" t="str">
        <f>INDEX(products!$A$1:$G$49,MATCH($D525,products!$A$1:$A$49,0),MATCH(I$1,products!$A$1:$G$1,0))</f>
        <v>Lib</v>
      </c>
      <c r="J525" t="str" cm="1">
        <f t="array" ref="J525">INDEX(products!$B$2:$E$49,MATCH($D525,products!$A$2:$A$49,0),COLUMN(B524))</f>
        <v>D</v>
      </c>
      <c r="K525" s="4" cm="1">
        <f t="array" ref="K525">INDEX(products!$B$2:$E$49,MATCH($D525,products!$A$2:$A$49,0),COLUMN(C524))</f>
        <v>2.5</v>
      </c>
      <c r="L525" s="5" cm="1">
        <f t="array" ref="L525">INDEX(products!$B$2:$E$49,MATCH($D525,products!$A$2:$A$49,0),COLUMN(D524))</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f>
        <v>Erny Stenyng</v>
      </c>
      <c r="G526" s="2" t="str">
        <f>IF(_xlfn.XLOOKUP(C526,customers!$A$1:$A$1001,customers!$C$1:$C$1001,,0)=0,"",(_xlfn.XLOOKUP(C526,customers!$A$1:$A$1001,customers!$C$1:$C$1001,,0)))</f>
        <v/>
      </c>
      <c r="H526" s="2" t="str">
        <f>_xlfn.XLOOKUP(C526,customers!$A$1:$A$1001,customers!$G$1:$G$1001,,0)</f>
        <v>United States</v>
      </c>
      <c r="I526" t="str">
        <f>INDEX(products!$A$1:$G$49,MATCH($D526,products!$A$1:$A$49,0),MATCH(I$1,products!$A$1:$G$1,0))</f>
        <v>Lib</v>
      </c>
      <c r="J526" t="str" cm="1">
        <f t="array" ref="J526">INDEX(products!$B$2:$E$49,MATCH($D526,products!$A$2:$A$49,0),COLUMN(B525))</f>
        <v>L</v>
      </c>
      <c r="K526" s="4" cm="1">
        <f t="array" ref="K526">INDEX(products!$B$2:$E$49,MATCH($D526,products!$A$2:$A$49,0),COLUMN(C525))</f>
        <v>2.5</v>
      </c>
      <c r="L526" s="5" cm="1">
        <f t="array" ref="L526">INDEX(products!$B$2:$E$49,MATCH($D526,products!$A$2:$A$49,0),COLUMN(D525))</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f>
        <v>Edin Yantsurev</v>
      </c>
      <c r="G527" s="2" t="str">
        <f>IF(_xlfn.XLOOKUP(C527,customers!$A$1:$A$1001,customers!$C$1:$C$1001,,0)=0,"",(_xlfn.XLOOKUP(C527,customers!$A$1:$A$1001,customers!$C$1:$C$1001,,0)))</f>
        <v/>
      </c>
      <c r="H527" s="2" t="str">
        <f>_xlfn.XLOOKUP(C527,customers!$A$1:$A$1001,customers!$G$1:$G$1001,,0)</f>
        <v>United States</v>
      </c>
      <c r="I527" t="str">
        <f>INDEX(products!$A$1:$G$49,MATCH($D527,products!$A$1:$A$49,0),MATCH(I$1,products!$A$1:$G$1,0))</f>
        <v>Rob</v>
      </c>
      <c r="J527" t="str" cm="1">
        <f t="array" ref="J527">INDEX(products!$B$2:$E$49,MATCH($D527,products!$A$2:$A$49,0),COLUMN(B526))</f>
        <v>D</v>
      </c>
      <c r="K527" s="4" cm="1">
        <f t="array" ref="K527">INDEX(products!$B$2:$E$49,MATCH($D527,products!$A$2:$A$49,0),COLUMN(C526))</f>
        <v>0.2</v>
      </c>
      <c r="L527" s="5" cm="1">
        <f t="array" ref="L527">INDEX(products!$B$2:$E$49,MATCH($D527,products!$A$2:$A$49,0),COLUMN(D526))</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INDEX(products!$A$1:$G$49,MATCH($D528,products!$A$1:$A$49,0),MATCH(I$1,products!$A$1:$G$1,0))</f>
        <v>Exc</v>
      </c>
      <c r="J528" t="str" cm="1">
        <f t="array" ref="J528">INDEX(products!$B$2:$E$49,MATCH($D528,products!$A$2:$A$49,0),COLUMN(B527))</f>
        <v>M</v>
      </c>
      <c r="K528" s="4" cm="1">
        <f t="array" ref="K528">INDEX(products!$B$2:$E$49,MATCH($D528,products!$A$2:$A$49,0),COLUMN(C527))</f>
        <v>2.5</v>
      </c>
      <c r="L528" s="5" cm="1">
        <f t="array" ref="L528">INDEX(products!$B$2:$E$49,MATCH($D528,products!$A$2:$A$49,0),COLUMN(D527))</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INDEX(products!$A$1:$G$49,MATCH($D529,products!$A$1:$A$49,0),MATCH(I$1,products!$A$1:$G$1,0))</f>
        <v>Exc</v>
      </c>
      <c r="J529" t="str" cm="1">
        <f t="array" ref="J529">INDEX(products!$B$2:$E$49,MATCH($D529,products!$A$2:$A$49,0),COLUMN(B528))</f>
        <v>M</v>
      </c>
      <c r="K529" s="4" cm="1">
        <f t="array" ref="K529">INDEX(products!$B$2:$E$49,MATCH($D529,products!$A$2:$A$49,0),COLUMN(C528))</f>
        <v>0.5</v>
      </c>
      <c r="L529" s="5" cm="1">
        <f t="array" ref="L529">INDEX(products!$B$2:$E$49,MATCH($D529,products!$A$2:$A$49,0),COLUMN(D528))</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INDEX(products!$A$1:$G$49,MATCH($D530,products!$A$1:$A$49,0),MATCH(I$1,products!$A$1:$G$1,0))</f>
        <v>Exc</v>
      </c>
      <c r="J530" t="str" cm="1">
        <f t="array" ref="J530">INDEX(products!$B$2:$E$49,MATCH($D530,products!$A$2:$A$49,0),COLUMN(B529))</f>
        <v>L</v>
      </c>
      <c r="K530" s="4" cm="1">
        <f t="array" ref="K530">INDEX(products!$B$2:$E$49,MATCH($D530,products!$A$2:$A$49,0),COLUMN(C529))</f>
        <v>0.5</v>
      </c>
      <c r="L530" s="5" cm="1">
        <f t="array" ref="L530">INDEX(products!$B$2:$E$49,MATCH($D530,products!$A$2:$A$49,0),COLUMN(D529))</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INDEX(products!$A$1:$G$49,MATCH($D531,products!$A$1:$A$49,0),MATCH(I$1,products!$A$1:$G$1,0))</f>
        <v>Rob</v>
      </c>
      <c r="J531" t="str" cm="1">
        <f t="array" ref="J531">INDEX(products!$B$2:$E$49,MATCH($D531,products!$A$2:$A$49,0),COLUMN(B530))</f>
        <v>M</v>
      </c>
      <c r="K531" s="4" cm="1">
        <f t="array" ref="K531">INDEX(products!$B$2:$E$49,MATCH($D531,products!$A$2:$A$49,0),COLUMN(C530))</f>
        <v>1</v>
      </c>
      <c r="L531" s="5" cm="1">
        <f t="array" ref="L531">INDEX(products!$B$2:$E$49,MATCH($D531,products!$A$2:$A$49,0),COLUMN(D530))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INDEX(products!$A$1:$G$49,MATCH($D532,products!$A$1:$A$49,0),MATCH(I$1,products!$A$1:$G$1,0))</f>
        <v>Rob</v>
      </c>
      <c r="J532" t="str" cm="1">
        <f t="array" ref="J532">INDEX(products!$B$2:$E$49,MATCH($D532,products!$A$2:$A$49,0),COLUMN(B531))</f>
        <v>M</v>
      </c>
      <c r="K532" s="4" cm="1">
        <f t="array" ref="K532">INDEX(products!$B$2:$E$49,MATCH($D532,products!$A$2:$A$49,0),COLUMN(C531))</f>
        <v>1</v>
      </c>
      <c r="L532" s="5" cm="1">
        <f t="array" ref="L532">INDEX(products!$B$2:$E$49,MATCH($D532,products!$A$2:$A$49,0),COLUMN(D531))</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INDEX(products!$A$1:$G$49,MATCH($D533,products!$A$1:$A$49,0),MATCH(I$1,products!$A$1:$G$1,0))</f>
        <v>Rob</v>
      </c>
      <c r="J533" t="str" cm="1">
        <f t="array" ref="J533">INDEX(products!$B$2:$E$49,MATCH($D533,products!$A$2:$A$49,0),COLUMN(B532))</f>
        <v>D</v>
      </c>
      <c r="K533" s="4" cm="1">
        <f t="array" ref="K533">INDEX(products!$B$2:$E$49,MATCH($D533,products!$A$2:$A$49,0),COLUMN(C532))</f>
        <v>1</v>
      </c>
      <c r="L533" s="5" cm="1">
        <f t="array" ref="L533">INDEX(products!$B$2:$E$49,MATCH($D533,products!$A$2:$A$49,0),COLUMN(D532))</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INDEX(products!$A$1:$G$49,MATCH($D534,products!$A$1:$A$49,0),MATCH(I$1,products!$A$1:$G$1,0))</f>
        <v>Exc</v>
      </c>
      <c r="J534" t="str" cm="1">
        <f t="array" ref="J534">INDEX(products!$B$2:$E$49,MATCH($D534,products!$A$2:$A$49,0),COLUMN(B533))</f>
        <v>M</v>
      </c>
      <c r="K534" s="4" cm="1">
        <f t="array" ref="K534">INDEX(products!$B$2:$E$49,MATCH($D534,products!$A$2:$A$49,0),COLUMN(C533))</f>
        <v>0.5</v>
      </c>
      <c r="L534" s="5" cm="1">
        <f t="array" ref="L534">INDEX(products!$B$2:$E$49,MATCH($D534,products!$A$2:$A$49,0),COLUMN(D533))</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f>
        <v>Rea Offell</v>
      </c>
      <c r="G535" s="2" t="str">
        <f>IF(_xlfn.XLOOKUP(C535,customers!$A$1:$A$1001,customers!$C$1:$C$1001,,0)=0,"",(_xlfn.XLOOKUP(C535,customers!$A$1:$A$1001,customers!$C$1:$C$1001,,0)))</f>
        <v/>
      </c>
      <c r="H535" s="2" t="str">
        <f>_xlfn.XLOOKUP(C535,customers!$A$1:$A$1001,customers!$G$1:$G$1001,,0)</f>
        <v>United States</v>
      </c>
      <c r="I535" t="str">
        <f>INDEX(products!$A$1:$G$49,MATCH($D535,products!$A$1:$A$49,0),MATCH(I$1,products!$A$1:$G$1,0))</f>
        <v>Rob</v>
      </c>
      <c r="J535" t="str" cm="1">
        <f t="array" ref="J535">INDEX(products!$B$2:$E$49,MATCH($D535,products!$A$2:$A$49,0),COLUMN(B534))</f>
        <v>D</v>
      </c>
      <c r="K535" s="4" cm="1">
        <f t="array" ref="K535">INDEX(products!$B$2:$E$49,MATCH($D535,products!$A$2:$A$49,0),COLUMN(C534))</f>
        <v>0.5</v>
      </c>
      <c r="L535" s="5" cm="1">
        <f t="array" ref="L535">INDEX(products!$B$2:$E$49,MATCH($D535,products!$A$2:$A$49,0),COLUMN(D534))</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f>
        <v>Kris O'Cullen</v>
      </c>
      <c r="G536" s="2" t="str">
        <f>IF(_xlfn.XLOOKUP(C536,customers!$A$1:$A$1001,customers!$C$1:$C$1001,,0)=0,"",(_xlfn.XLOOKUP(C536,customers!$A$1:$A$1001,customers!$C$1:$C$1001,,0)))</f>
        <v>koculleneu@ca.gov</v>
      </c>
      <c r="H536" s="2" t="str">
        <f>_xlfn.XLOOKUP(C536,customers!$A$1:$A$1001,customers!$G$1:$G$1001,,0)</f>
        <v>Ireland</v>
      </c>
      <c r="I536" t="str">
        <f>INDEX(products!$A$1:$G$49,MATCH($D536,products!$A$1:$A$49,0),MATCH(I$1,products!$A$1:$G$1,0))</f>
        <v>Rob</v>
      </c>
      <c r="J536" t="str" cm="1">
        <f t="array" ref="J536">INDEX(products!$B$2:$E$49,MATCH($D536,products!$A$2:$A$49,0),COLUMN(B535))</f>
        <v>M</v>
      </c>
      <c r="K536" s="4" cm="1">
        <f t="array" ref="K536">INDEX(products!$B$2:$E$49,MATCH($D536,products!$A$2:$A$49,0),COLUMN(C535))</f>
        <v>2.5</v>
      </c>
      <c r="L536" s="5" cm="1">
        <f t="array" ref="L536">INDEX(products!$B$2:$E$49,MATCH($D536,products!$A$2:$A$49,0),COLUMN(D535))</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f>
        <v>Timoteo Glisane</v>
      </c>
      <c r="G537" s="2" t="str">
        <f>IF(_xlfn.XLOOKUP(C537,customers!$A$1:$A$1001,customers!$C$1:$C$1001,,0)=0,"",(_xlfn.XLOOKUP(C537,customers!$A$1:$A$1001,customers!$C$1:$C$1001,,0)))</f>
        <v/>
      </c>
      <c r="H537" s="2" t="str">
        <f>_xlfn.XLOOKUP(C537,customers!$A$1:$A$1001,customers!$G$1:$G$1001,,0)</f>
        <v>Ireland</v>
      </c>
      <c r="I537" t="str">
        <f>INDEX(products!$A$1:$G$49,MATCH($D537,products!$A$1:$A$49,0),MATCH(I$1,products!$A$1:$G$1,0))</f>
        <v>Lib</v>
      </c>
      <c r="J537" t="str" cm="1">
        <f t="array" ref="J537">INDEX(products!$B$2:$E$49,MATCH($D537,products!$A$2:$A$49,0),COLUMN(B536))</f>
        <v>L</v>
      </c>
      <c r="K537" s="4" cm="1">
        <f t="array" ref="K537">INDEX(products!$B$2:$E$49,MATCH($D537,products!$A$2:$A$49,0),COLUMN(C536))</f>
        <v>0.2</v>
      </c>
      <c r="L537" s="5" cm="1">
        <f t="array" ref="L537">INDEX(products!$B$2:$E$49,MATCH($D537,products!$A$2:$A$49,0),COLUMN(D536))</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f>
        <v>Marja Urion</v>
      </c>
      <c r="G538" s="2" t="str">
        <f>IF(_xlfn.XLOOKUP(C538,customers!$A$1:$A$1001,customers!$C$1:$C$1001,,0)=0,"",(_xlfn.XLOOKUP(C538,customers!$A$1:$A$1001,customers!$C$1:$C$1001,,0)))</f>
        <v>murione5@alexa.com</v>
      </c>
      <c r="H538" s="2" t="str">
        <f>_xlfn.XLOOKUP(C538,customers!$A$1:$A$1001,customers!$G$1:$G$1001,,0)</f>
        <v>Ireland</v>
      </c>
      <c r="I538" t="str">
        <f>INDEX(products!$A$1:$G$49,MATCH($D538,products!$A$1:$A$49,0),MATCH(I$1,products!$A$1:$G$1,0))</f>
        <v>Rob</v>
      </c>
      <c r="J538" t="str" cm="1">
        <f t="array" ref="J538">INDEX(products!$B$2:$E$49,MATCH($D538,products!$A$2:$A$49,0),COLUMN(B537))</f>
        <v>D</v>
      </c>
      <c r="K538" s="4" cm="1">
        <f t="array" ref="K538">INDEX(products!$B$2:$E$49,MATCH($D538,products!$A$2:$A$49,0),COLUMN(C537))</f>
        <v>0.2</v>
      </c>
      <c r="L538" s="5" cm="1">
        <f t="array" ref="L538">INDEX(products!$B$2:$E$49,MATCH($D538,products!$A$2:$A$49,0),COLUMN(D537))</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INDEX(products!$A$1:$G$49,MATCH($D539,products!$A$1:$A$49,0),MATCH(I$1,products!$A$1:$G$1,0))</f>
        <v>Exc</v>
      </c>
      <c r="J539" t="str" cm="1">
        <f t="array" ref="J539">INDEX(products!$B$2:$E$49,MATCH($D539,products!$A$2:$A$49,0),COLUMN(B538))</f>
        <v>D</v>
      </c>
      <c r="K539" s="4" cm="1">
        <f t="array" ref="K539">INDEX(products!$B$2:$E$49,MATCH($D539,products!$A$2:$A$49,0),COLUMN(C538))</f>
        <v>2.5</v>
      </c>
      <c r="L539" s="5" cm="1">
        <f t="array" ref="L539">INDEX(products!$B$2:$E$49,MATCH($D539,products!$A$2:$A$49,0),COLUMN(D538))</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INDEX(products!$A$1:$G$49,MATCH($D540,products!$A$1:$A$49,0),MATCH(I$1,products!$A$1:$G$1,0))</f>
        <v>Rob</v>
      </c>
      <c r="J540" t="str" cm="1">
        <f t="array" ref="J540">INDEX(products!$B$2:$E$49,MATCH($D540,products!$A$2:$A$49,0),COLUMN(B539))</f>
        <v>D</v>
      </c>
      <c r="K540" s="4" cm="1">
        <f t="array" ref="K540">INDEX(products!$B$2:$E$49,MATCH($D540,products!$A$2:$A$49,0),COLUMN(C539))</f>
        <v>0.2</v>
      </c>
      <c r="L540" s="5" cm="1">
        <f t="array" ref="L540">INDEX(products!$B$2:$E$49,MATCH($D540,products!$A$2:$A$49,0),COLUMN(D539))</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INDEX(products!$A$1:$G$49,MATCH($D541,products!$A$1:$A$49,0),MATCH(I$1,products!$A$1:$G$1,0))</f>
        <v>Rob</v>
      </c>
      <c r="J541" t="str" cm="1">
        <f t="array" ref="J541">INDEX(products!$B$2:$E$49,MATCH($D541,products!$A$2:$A$49,0),COLUMN(B540))</f>
        <v>D</v>
      </c>
      <c r="K541" s="4" cm="1">
        <f t="array" ref="K541">INDEX(products!$B$2:$E$49,MATCH($D541,products!$A$2:$A$49,0),COLUMN(C540))</f>
        <v>0.5</v>
      </c>
      <c r="L541" s="5" cm="1">
        <f t="array" ref="L541">INDEX(products!$B$2:$E$49,MATCH($D541,products!$A$2:$A$49,0),COLUMN(D540))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INDEX(products!$A$1:$G$49,MATCH($D542,products!$A$1:$A$49,0),MATCH(I$1,products!$A$1:$G$1,0))</f>
        <v>Lib</v>
      </c>
      <c r="J542" t="str" cm="1">
        <f t="array" ref="J542">INDEX(products!$B$2:$E$49,MATCH($D542,products!$A$2:$A$49,0),COLUMN(B541))</f>
        <v>L</v>
      </c>
      <c r="K542" s="4" cm="1">
        <f t="array" ref="K542">INDEX(products!$B$2:$E$49,MATCH($D542,products!$A$2:$A$49,0),COLUMN(C541))</f>
        <v>1</v>
      </c>
      <c r="L542" s="5" cm="1">
        <f t="array" ref="L542">INDEX(products!$B$2:$E$49,MATCH($D542,products!$A$2:$A$49,0),COLUMN(D541))</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f>
        <v>Lora Dukes</v>
      </c>
      <c r="G543" s="2" t="str">
        <f>IF(_xlfn.XLOOKUP(C543,customers!$A$1:$A$1001,customers!$C$1:$C$1001,,0)=0,"",(_xlfn.XLOOKUP(C543,customers!$A$1:$A$1001,customers!$C$1:$C$1001,,0)))</f>
        <v/>
      </c>
      <c r="H543" s="2" t="str">
        <f>_xlfn.XLOOKUP(C543,customers!$A$1:$A$1001,customers!$G$1:$G$1001,,0)</f>
        <v>Ireland</v>
      </c>
      <c r="I543" t="str">
        <f>INDEX(products!$A$1:$G$49,MATCH($D543,products!$A$1:$A$49,0),MATCH(I$1,products!$A$1:$G$1,0))</f>
        <v>Ara</v>
      </c>
      <c r="J543" t="str" cm="1">
        <f t="array" ref="J543">INDEX(products!$B$2:$E$49,MATCH($D543,products!$A$2:$A$49,0),COLUMN(B542))</f>
        <v>D</v>
      </c>
      <c r="K543" s="4" cm="1">
        <f t="array" ref="K543">INDEX(products!$B$2:$E$49,MATCH($D543,products!$A$2:$A$49,0),COLUMN(C542))</f>
        <v>2.5</v>
      </c>
      <c r="L543" s="5" cm="1">
        <f t="array" ref="L543">INDEX(products!$B$2:$E$49,MATCH($D543,products!$A$2:$A$49,0),COLUMN(D542))</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INDEX(products!$A$1:$G$49,MATCH($D544,products!$A$1:$A$49,0),MATCH(I$1,products!$A$1:$G$1,0))</f>
        <v>Ara</v>
      </c>
      <c r="J544" t="str" cm="1">
        <f t="array" ref="J544">INDEX(products!$B$2:$E$49,MATCH($D544,products!$A$2:$A$49,0),COLUMN(B543))</f>
        <v>M</v>
      </c>
      <c r="K544" s="4" cm="1">
        <f t="array" ref="K544">INDEX(products!$B$2:$E$49,MATCH($D544,products!$A$2:$A$49,0),COLUMN(C543))</f>
        <v>2.5</v>
      </c>
      <c r="L544" s="5" cm="1">
        <f t="array" ref="L544">INDEX(products!$B$2:$E$49,MATCH($D544,products!$A$2:$A$49,0),COLUMN(D543))</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INDEX(products!$A$1:$G$49,MATCH($D545,products!$A$1:$A$49,0),MATCH(I$1,products!$A$1:$G$1,0))</f>
        <v>Rob</v>
      </c>
      <c r="J545" t="str" cm="1">
        <f t="array" ref="J545">INDEX(products!$B$2:$E$49,MATCH($D545,products!$A$2:$A$49,0),COLUMN(B544))</f>
        <v>L</v>
      </c>
      <c r="K545" s="4" cm="1">
        <f t="array" ref="K545">INDEX(products!$B$2:$E$49,MATCH($D545,products!$A$2:$A$49,0),COLUMN(C544))</f>
        <v>2.5</v>
      </c>
      <c r="L545" s="5" cm="1">
        <f t="array" ref="L545">INDEX(products!$B$2:$E$49,MATCH($D545,products!$A$2:$A$49,0),COLUMN(D544))</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INDEX(products!$A$1:$G$49,MATCH($D546,products!$A$1:$A$49,0),MATCH(I$1,products!$A$1:$G$1,0))</f>
        <v>Ara</v>
      </c>
      <c r="J546" t="str" cm="1">
        <f t="array" ref="J546">INDEX(products!$B$2:$E$49,MATCH($D546,products!$A$2:$A$49,0),COLUMN(B545))</f>
        <v>L</v>
      </c>
      <c r="K546" s="4" cm="1">
        <f t="array" ref="K546">INDEX(products!$B$2:$E$49,MATCH($D546,products!$A$2:$A$49,0),COLUMN(C545))</f>
        <v>0.5</v>
      </c>
      <c r="L546" s="5" cm="1">
        <f t="array" ref="L546">INDEX(products!$B$2:$E$49,MATCH($D546,products!$A$2:$A$49,0),COLUMN(D545))</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INDEX(products!$A$1:$G$49,MATCH($D547,products!$A$1:$A$49,0),MATCH(I$1,products!$A$1:$G$1,0))</f>
        <v>Lib</v>
      </c>
      <c r="J547" t="str" cm="1">
        <f t="array" ref="J547">INDEX(products!$B$2:$E$49,MATCH($D547,products!$A$2:$A$49,0),COLUMN(B546))</f>
        <v>D</v>
      </c>
      <c r="K547" s="4" cm="1">
        <f t="array" ref="K547">INDEX(products!$B$2:$E$49,MATCH($D547,products!$A$2:$A$49,0),COLUMN(C546))</f>
        <v>0.2</v>
      </c>
      <c r="L547" s="5" cm="1">
        <f t="array" ref="L547">INDEX(products!$B$2:$E$49,MATCH($D547,products!$A$2:$A$49,0),COLUMN(D546))</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f>
        <v>Dom Milella</v>
      </c>
      <c r="G548" s="2" t="str">
        <f>IF(_xlfn.XLOOKUP(C548,customers!$A$1:$A$1001,customers!$C$1:$C$1001,,0)=0,"",(_xlfn.XLOOKUP(C548,customers!$A$1:$A$1001,customers!$C$1:$C$1001,,0)))</f>
        <v/>
      </c>
      <c r="H548" s="2" t="str">
        <f>_xlfn.XLOOKUP(C548,customers!$A$1:$A$1001,customers!$G$1:$G$1001,,0)</f>
        <v>Ireland</v>
      </c>
      <c r="I548" t="str">
        <f>INDEX(products!$A$1:$G$49,MATCH($D548,products!$A$1:$A$49,0),MATCH(I$1,products!$A$1:$G$1,0))</f>
        <v>Exc</v>
      </c>
      <c r="J548" t="str" cm="1">
        <f t="array" ref="J548">INDEX(products!$B$2:$E$49,MATCH($D548,products!$A$2:$A$49,0),COLUMN(B547))</f>
        <v>D</v>
      </c>
      <c r="K548" s="4" cm="1">
        <f t="array" ref="K548">INDEX(products!$B$2:$E$49,MATCH($D548,products!$A$2:$A$49,0),COLUMN(C547))</f>
        <v>2.5</v>
      </c>
      <c r="L548" s="5" cm="1">
        <f t="array" ref="L548">INDEX(products!$B$2:$E$49,MATCH($D548,products!$A$2:$A$49,0),COLUMN(D547))</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INDEX(products!$A$1:$G$49,MATCH($D549,products!$A$1:$A$49,0),MATCH(I$1,products!$A$1:$G$1,0))</f>
        <v>Rob</v>
      </c>
      <c r="J549" t="str" cm="1">
        <f t="array" ref="J549">INDEX(products!$B$2:$E$49,MATCH($D549,products!$A$2:$A$49,0),COLUMN(B548))</f>
        <v>L</v>
      </c>
      <c r="K549" s="4" cm="1">
        <f t="array" ref="K549">INDEX(products!$B$2:$E$49,MATCH($D549,products!$A$2:$A$49,0),COLUMN(C548))</f>
        <v>0.2</v>
      </c>
      <c r="L549" s="5" cm="1">
        <f t="array" ref="L549">INDEX(products!$B$2:$E$49,MATCH($D549,products!$A$2:$A$49,0),COLUMN(D548))</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INDEX(products!$A$1:$G$49,MATCH($D550,products!$A$1:$A$49,0),MATCH(I$1,products!$A$1:$G$1,0))</f>
        <v>Exc</v>
      </c>
      <c r="J550" t="str" cm="1">
        <f t="array" ref="J550">INDEX(products!$B$2:$E$49,MATCH($D550,products!$A$2:$A$49,0),COLUMN(B549))</f>
        <v>L</v>
      </c>
      <c r="K550" s="4" cm="1">
        <f t="array" ref="K550">INDEX(products!$B$2:$E$49,MATCH($D550,products!$A$2:$A$49,0),COLUMN(C549))</f>
        <v>0.2</v>
      </c>
      <c r="L550" s="5" cm="1">
        <f t="array" ref="L550">INDEX(products!$B$2:$E$49,MATCH($D550,products!$A$2:$A$49,0),COLUMN(D549))</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INDEX(products!$A$1:$G$49,MATCH($D551,products!$A$1:$A$49,0),MATCH(I$1,products!$A$1:$G$1,0))</f>
        <v>Exc</v>
      </c>
      <c r="J551" t="str" cm="1">
        <f t="array" ref="J551">INDEX(products!$B$2:$E$49,MATCH($D551,products!$A$2:$A$49,0),COLUMN(B550))</f>
        <v>L</v>
      </c>
      <c r="K551" s="4" cm="1">
        <f t="array" ref="K551">INDEX(products!$B$2:$E$49,MATCH($D551,products!$A$2:$A$49,0),COLUMN(C550))</f>
        <v>0.2</v>
      </c>
      <c r="L551" s="5" cm="1">
        <f t="array" ref="L551">INDEX(products!$B$2:$E$49,MATCH($D551,products!$A$2:$A$49,0),COLUMN(D550))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INDEX(products!$A$1:$G$49,MATCH($D552,products!$A$1:$A$49,0),MATCH(I$1,products!$A$1:$G$1,0))</f>
        <v>Lib</v>
      </c>
      <c r="J552" t="str" cm="1">
        <f t="array" ref="J552">INDEX(products!$B$2:$E$49,MATCH($D552,products!$A$2:$A$49,0),COLUMN(B551))</f>
        <v>D</v>
      </c>
      <c r="K552" s="4" cm="1">
        <f t="array" ref="K552">INDEX(products!$B$2:$E$49,MATCH($D552,products!$A$2:$A$49,0),COLUMN(C551))</f>
        <v>0.2</v>
      </c>
      <c r="L552" s="5" cm="1">
        <f t="array" ref="L552">INDEX(products!$B$2:$E$49,MATCH($D552,products!$A$2:$A$49,0),COLUMN(D551))</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INDEX(products!$A$1:$G$49,MATCH($D553,products!$A$1:$A$49,0),MATCH(I$1,products!$A$1:$G$1,0))</f>
        <v>Exc</v>
      </c>
      <c r="J553" t="str" cm="1">
        <f t="array" ref="J553">INDEX(products!$B$2:$E$49,MATCH($D553,products!$A$2:$A$49,0),COLUMN(B552))</f>
        <v>D</v>
      </c>
      <c r="K553" s="4" cm="1">
        <f t="array" ref="K553">INDEX(products!$B$2:$E$49,MATCH($D553,products!$A$2:$A$49,0),COLUMN(C552))</f>
        <v>0.2</v>
      </c>
      <c r="L553" s="5" cm="1">
        <f t="array" ref="L553">INDEX(products!$B$2:$E$49,MATCH($D553,products!$A$2:$A$49,0),COLUMN(D552))</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INDEX(products!$A$1:$G$49,MATCH($D554,products!$A$1:$A$49,0),MATCH(I$1,products!$A$1:$G$1,0))</f>
        <v>Exc</v>
      </c>
      <c r="J554" t="str" cm="1">
        <f t="array" ref="J554">INDEX(products!$B$2:$E$49,MATCH($D554,products!$A$2:$A$49,0),COLUMN(B553))</f>
        <v>L</v>
      </c>
      <c r="K554" s="4" cm="1">
        <f t="array" ref="K554">INDEX(products!$B$2:$E$49,MATCH($D554,products!$A$2:$A$49,0),COLUMN(C553))</f>
        <v>0.2</v>
      </c>
      <c r="L554" s="5" cm="1">
        <f t="array" ref="L554">INDEX(products!$B$2:$E$49,MATCH($D554,products!$A$2:$A$49,0),COLUMN(D553))</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INDEX(products!$A$1:$G$49,MATCH($D555,products!$A$1:$A$49,0),MATCH(I$1,products!$A$1:$G$1,0))</f>
        <v>Exc</v>
      </c>
      <c r="J555" t="str" cm="1">
        <f t="array" ref="J555">INDEX(products!$B$2:$E$49,MATCH($D555,products!$A$2:$A$49,0),COLUMN(B554))</f>
        <v>M</v>
      </c>
      <c r="K555" s="4" cm="1">
        <f t="array" ref="K555">INDEX(products!$B$2:$E$49,MATCH($D555,products!$A$2:$A$49,0),COLUMN(C554))</f>
        <v>1</v>
      </c>
      <c r="L555" s="5" cm="1">
        <f t="array" ref="L555">INDEX(products!$B$2:$E$49,MATCH($D555,products!$A$2:$A$49,0),COLUMN(D554))</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f>
        <v>Madelaine Sharples</v>
      </c>
      <c r="G556" s="2" t="str">
        <f>IF(_xlfn.XLOOKUP(C556,customers!$A$1:$A$1001,customers!$C$1:$C$1001,,0)=0,"",(_xlfn.XLOOKUP(C556,customers!$A$1:$A$1001,customers!$C$1:$C$1001,,0)))</f>
        <v/>
      </c>
      <c r="H556" s="2" t="str">
        <f>_xlfn.XLOOKUP(C556,customers!$A$1:$A$1001,customers!$G$1:$G$1001,,0)</f>
        <v>United Kingdom</v>
      </c>
      <c r="I556" t="str">
        <f>INDEX(products!$A$1:$G$49,MATCH($D556,products!$A$1:$A$49,0),MATCH(I$1,products!$A$1:$G$1,0))</f>
        <v>Rob</v>
      </c>
      <c r="J556" t="str" cm="1">
        <f t="array" ref="J556">INDEX(products!$B$2:$E$49,MATCH($D556,products!$A$2:$A$49,0),COLUMN(B555))</f>
        <v>L</v>
      </c>
      <c r="K556" s="4" cm="1">
        <f t="array" ref="K556">INDEX(products!$B$2:$E$49,MATCH($D556,products!$A$2:$A$49,0),COLUMN(C555))</f>
        <v>2.5</v>
      </c>
      <c r="L556" s="5" cm="1">
        <f t="array" ref="L556">INDEX(products!$B$2:$E$49,MATCH($D556,products!$A$2:$A$49,0),COLUMN(D555))</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f>
        <v>Sigfrid Busch</v>
      </c>
      <c r="G557" s="2" t="str">
        <f>IF(_xlfn.XLOOKUP(C557,customers!$A$1:$A$1001,customers!$C$1:$C$1001,,0)=0,"",(_xlfn.XLOOKUP(C557,customers!$A$1:$A$1001,customers!$C$1:$C$1001,,0)))</f>
        <v>sbuschff@so-net.ne.jp</v>
      </c>
      <c r="H557" s="2" t="str">
        <f>_xlfn.XLOOKUP(C557,customers!$A$1:$A$1001,customers!$G$1:$G$1001,,0)</f>
        <v>Ireland</v>
      </c>
      <c r="I557" t="str">
        <f>INDEX(products!$A$1:$G$49,MATCH($D557,products!$A$1:$A$49,0),MATCH(I$1,products!$A$1:$G$1,0))</f>
        <v>Exc</v>
      </c>
      <c r="J557" t="str" cm="1">
        <f t="array" ref="J557">INDEX(products!$B$2:$E$49,MATCH($D557,products!$A$2:$A$49,0),COLUMN(B556))</f>
        <v>M</v>
      </c>
      <c r="K557" s="4" cm="1">
        <f t="array" ref="K557">INDEX(products!$B$2:$E$49,MATCH($D557,products!$A$2:$A$49,0),COLUMN(C556))</f>
        <v>1</v>
      </c>
      <c r="L557" s="5" cm="1">
        <f t="array" ref="L557">INDEX(products!$B$2:$E$49,MATCH($D557,products!$A$2:$A$49,0),COLUMN(D556))</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INDEX(products!$A$1:$G$49,MATCH($D558,products!$A$1:$A$49,0),MATCH(I$1,products!$A$1:$G$1,0))</f>
        <v>Lib</v>
      </c>
      <c r="J558" t="str" cm="1">
        <f t="array" ref="J558">INDEX(products!$B$2:$E$49,MATCH($D558,products!$A$2:$A$49,0),COLUMN(B557))</f>
        <v>M</v>
      </c>
      <c r="K558" s="4" cm="1">
        <f t="array" ref="K558">INDEX(products!$B$2:$E$49,MATCH($D558,products!$A$2:$A$49,0),COLUMN(C557))</f>
        <v>0.2</v>
      </c>
      <c r="L558" s="5" cm="1">
        <f t="array" ref="L558">INDEX(products!$B$2:$E$49,MATCH($D558,products!$A$2:$A$49,0),COLUMN(D557))</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f>
        <v>Marja Urion</v>
      </c>
      <c r="G559" s="2" t="str">
        <f>IF(_xlfn.XLOOKUP(C559,customers!$A$1:$A$1001,customers!$C$1:$C$1001,,0)=0,"",(_xlfn.XLOOKUP(C559,customers!$A$1:$A$1001,customers!$C$1:$C$1001,,0)))</f>
        <v>murione5@alexa.com</v>
      </c>
      <c r="H559" s="2" t="str">
        <f>_xlfn.XLOOKUP(C559,customers!$A$1:$A$1001,customers!$G$1:$G$1001,,0)</f>
        <v>Ireland</v>
      </c>
      <c r="I559" t="str">
        <f>INDEX(products!$A$1:$G$49,MATCH($D559,products!$A$1:$A$49,0),MATCH(I$1,products!$A$1:$G$1,0))</f>
        <v>Exc</v>
      </c>
      <c r="J559" t="str" cm="1">
        <f t="array" ref="J559">INDEX(products!$B$2:$E$49,MATCH($D559,products!$A$2:$A$49,0),COLUMN(B558))</f>
        <v>L</v>
      </c>
      <c r="K559" s="4" cm="1">
        <f t="array" ref="K559">INDEX(products!$B$2:$E$49,MATCH($D559,products!$A$2:$A$49,0),COLUMN(C558))</f>
        <v>1</v>
      </c>
      <c r="L559" s="5" cm="1">
        <f t="array" ref="L559">INDEX(products!$B$2:$E$49,MATCH($D559,products!$A$2:$A$49,0),COLUMN(D558))</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f>
        <v>Kenton Wetherick</v>
      </c>
      <c r="G560" s="2" t="str">
        <f>IF(_xlfn.XLOOKUP(C560,customers!$A$1:$A$1001,customers!$C$1:$C$1001,,0)=0,"",(_xlfn.XLOOKUP(C560,customers!$A$1:$A$1001,customers!$C$1:$C$1001,,0)))</f>
        <v/>
      </c>
      <c r="H560" s="2" t="str">
        <f>_xlfn.XLOOKUP(C560,customers!$A$1:$A$1001,customers!$G$1:$G$1001,,0)</f>
        <v>United States</v>
      </c>
      <c r="I560" t="str">
        <f>INDEX(products!$A$1:$G$49,MATCH($D560,products!$A$1:$A$49,0),MATCH(I$1,products!$A$1:$G$1,0))</f>
        <v>Lib</v>
      </c>
      <c r="J560" t="str" cm="1">
        <f t="array" ref="J560">INDEX(products!$B$2:$E$49,MATCH($D560,products!$A$2:$A$49,0),COLUMN(B559))</f>
        <v>D</v>
      </c>
      <c r="K560" s="4" cm="1">
        <f t="array" ref="K560">INDEX(products!$B$2:$E$49,MATCH($D560,products!$A$2:$A$49,0),COLUMN(C559))</f>
        <v>0.2</v>
      </c>
      <c r="L560" s="5" cm="1">
        <f t="array" ref="L560">INDEX(products!$B$2:$E$49,MATCH($D560,products!$A$2:$A$49,0),COLUMN(D559))</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INDEX(products!$A$1:$G$49,MATCH($D561,products!$A$1:$A$49,0),MATCH(I$1,products!$A$1:$G$1,0))</f>
        <v>Ara</v>
      </c>
      <c r="J561" t="str" cm="1">
        <f t="array" ref="J561">INDEX(products!$B$2:$E$49,MATCH($D561,products!$A$2:$A$49,0),COLUMN(B560))</f>
        <v>L</v>
      </c>
      <c r="K561" s="4" cm="1">
        <f t="array" ref="K561">INDEX(products!$B$2:$E$49,MATCH($D561,products!$A$2:$A$49,0),COLUMN(C560))</f>
        <v>1</v>
      </c>
      <c r="L561" s="5" cm="1">
        <f t="array" ref="L561">INDEX(products!$B$2:$E$49,MATCH($D561,products!$A$2:$A$49,0),COLUMN(D560))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f>
        <v>Hatty Dovydenas</v>
      </c>
      <c r="G562" s="2" t="str">
        <f>IF(_xlfn.XLOOKUP(C562,customers!$A$1:$A$1001,customers!$C$1:$C$1001,,0)=0,"",(_xlfn.XLOOKUP(C562,customers!$A$1:$A$1001,customers!$C$1:$C$1001,,0)))</f>
        <v/>
      </c>
      <c r="H562" s="2" t="str">
        <f>_xlfn.XLOOKUP(C562,customers!$A$1:$A$1001,customers!$G$1:$G$1001,,0)</f>
        <v>United States</v>
      </c>
      <c r="I562" t="str">
        <f>INDEX(products!$A$1:$G$49,MATCH($D562,products!$A$1:$A$49,0),MATCH(I$1,products!$A$1:$G$1,0))</f>
        <v>Exc</v>
      </c>
      <c r="J562" t="str" cm="1">
        <f t="array" ref="J562">INDEX(products!$B$2:$E$49,MATCH($D562,products!$A$2:$A$49,0),COLUMN(B561))</f>
        <v>M</v>
      </c>
      <c r="K562" s="4" cm="1">
        <f t="array" ref="K562">INDEX(products!$B$2:$E$49,MATCH($D562,products!$A$2:$A$49,0),COLUMN(C561))</f>
        <v>2.5</v>
      </c>
      <c r="L562" s="5" cm="1">
        <f t="array" ref="L562">INDEX(products!$B$2:$E$49,MATCH($D562,products!$A$2:$A$49,0),COLUMN(D561))</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f>
        <v>Nathaniel Bloxland</v>
      </c>
      <c r="G563" s="2" t="str">
        <f>IF(_xlfn.XLOOKUP(C563,customers!$A$1:$A$1001,customers!$C$1:$C$1001,,0)=0,"",(_xlfn.XLOOKUP(C563,customers!$A$1:$A$1001,customers!$C$1:$C$1001,,0)))</f>
        <v/>
      </c>
      <c r="H563" s="2" t="str">
        <f>_xlfn.XLOOKUP(C563,customers!$A$1:$A$1001,customers!$G$1:$G$1001,,0)</f>
        <v>Ireland</v>
      </c>
      <c r="I563" t="str">
        <f>INDEX(products!$A$1:$G$49,MATCH($D563,products!$A$1:$A$49,0),MATCH(I$1,products!$A$1:$G$1,0))</f>
        <v>Ara</v>
      </c>
      <c r="J563" t="str" cm="1">
        <f t="array" ref="J563">INDEX(products!$B$2:$E$49,MATCH($D563,products!$A$2:$A$49,0),COLUMN(B562))</f>
        <v>D</v>
      </c>
      <c r="K563" s="4" cm="1">
        <f t="array" ref="K563">INDEX(products!$B$2:$E$49,MATCH($D563,products!$A$2:$A$49,0),COLUMN(C562))</f>
        <v>0.2</v>
      </c>
      <c r="L563" s="5" cm="1">
        <f t="array" ref="L563">INDEX(products!$B$2:$E$49,MATCH($D563,products!$A$2:$A$49,0),COLUMN(D562))</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INDEX(products!$A$1:$G$49,MATCH($D564,products!$A$1:$A$49,0),MATCH(I$1,products!$A$1:$G$1,0))</f>
        <v>Lib</v>
      </c>
      <c r="J564" t="str" cm="1">
        <f t="array" ref="J564">INDEX(products!$B$2:$E$49,MATCH($D564,products!$A$2:$A$49,0),COLUMN(B563))</f>
        <v>L</v>
      </c>
      <c r="K564" s="4" cm="1">
        <f t="array" ref="K564">INDEX(products!$B$2:$E$49,MATCH($D564,products!$A$2:$A$49,0),COLUMN(C563))</f>
        <v>0.2</v>
      </c>
      <c r="L564" s="5" cm="1">
        <f t="array" ref="L564">INDEX(products!$B$2:$E$49,MATCH($D564,products!$A$2:$A$49,0),COLUMN(D563))</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INDEX(products!$A$1:$G$49,MATCH($D565,products!$A$1:$A$49,0),MATCH(I$1,products!$A$1:$G$1,0))</f>
        <v>Exc</v>
      </c>
      <c r="J565" t="str" cm="1">
        <f t="array" ref="J565">INDEX(products!$B$2:$E$49,MATCH($D565,products!$A$2:$A$49,0),COLUMN(B564))</f>
        <v>M</v>
      </c>
      <c r="K565" s="4" cm="1">
        <f t="array" ref="K565">INDEX(products!$B$2:$E$49,MATCH($D565,products!$A$2:$A$49,0),COLUMN(C564))</f>
        <v>1</v>
      </c>
      <c r="L565" s="5" cm="1">
        <f t="array" ref="L565">INDEX(products!$B$2:$E$49,MATCH($D565,products!$A$2:$A$49,0),COLUMN(D564))</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f>
        <v>Abbe Thys</v>
      </c>
      <c r="G566" s="2" t="str">
        <f>IF(_xlfn.XLOOKUP(C566,customers!$A$1:$A$1001,customers!$C$1:$C$1001,,0)=0,"",(_xlfn.XLOOKUP(C566,customers!$A$1:$A$1001,customers!$C$1:$C$1001,,0)))</f>
        <v>athysfo@cdc.gov</v>
      </c>
      <c r="H566" s="2" t="str">
        <f>_xlfn.XLOOKUP(C566,customers!$A$1:$A$1001,customers!$G$1:$G$1001,,0)</f>
        <v>United States</v>
      </c>
      <c r="I566" t="str">
        <f>INDEX(products!$A$1:$G$49,MATCH($D566,products!$A$1:$A$49,0),MATCH(I$1,products!$A$1:$G$1,0))</f>
        <v>Rob</v>
      </c>
      <c r="J566" t="str" cm="1">
        <f t="array" ref="J566">INDEX(products!$B$2:$E$49,MATCH($D566,products!$A$2:$A$49,0),COLUMN(B565))</f>
        <v>L</v>
      </c>
      <c r="K566" s="4" cm="1">
        <f t="array" ref="K566">INDEX(products!$B$2:$E$49,MATCH($D566,products!$A$2:$A$49,0),COLUMN(C565))</f>
        <v>0.5</v>
      </c>
      <c r="L566" s="5" cm="1">
        <f t="array" ref="L566">INDEX(products!$B$2:$E$49,MATCH($D566,products!$A$2:$A$49,0),COLUMN(D565))</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INDEX(products!$A$1:$G$49,MATCH($D567,products!$A$1:$A$49,0),MATCH(I$1,products!$A$1:$G$1,0))</f>
        <v>Rob</v>
      </c>
      <c r="J567" t="str" cm="1">
        <f t="array" ref="J567">INDEX(products!$B$2:$E$49,MATCH($D567,products!$A$2:$A$49,0),COLUMN(B566))</f>
        <v>D</v>
      </c>
      <c r="K567" s="4" cm="1">
        <f t="array" ref="K567">INDEX(products!$B$2:$E$49,MATCH($D567,products!$A$2:$A$49,0),COLUMN(C566))</f>
        <v>2.5</v>
      </c>
      <c r="L567" s="5" cm="1">
        <f t="array" ref="L567">INDEX(products!$B$2:$E$49,MATCH($D567,products!$A$2:$A$49,0),COLUMN(D566))</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INDEX(products!$A$1:$G$49,MATCH($D568,products!$A$1:$A$49,0),MATCH(I$1,products!$A$1:$G$1,0))</f>
        <v>Ara</v>
      </c>
      <c r="J568" t="str" cm="1">
        <f t="array" ref="J568">INDEX(products!$B$2:$E$49,MATCH($D568,products!$A$2:$A$49,0),COLUMN(B567))</f>
        <v>M</v>
      </c>
      <c r="K568" s="4" cm="1">
        <f t="array" ref="K568">INDEX(products!$B$2:$E$49,MATCH($D568,products!$A$2:$A$49,0),COLUMN(C567))</f>
        <v>0.2</v>
      </c>
      <c r="L568" s="5" cm="1">
        <f t="array" ref="L568">INDEX(products!$B$2:$E$49,MATCH($D568,products!$A$2:$A$49,0),COLUMN(D567))</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f>
        <v>Elvina Angel</v>
      </c>
      <c r="G569" s="2" t="str">
        <f>IF(_xlfn.XLOOKUP(C569,customers!$A$1:$A$1001,customers!$C$1:$C$1001,,0)=0,"",(_xlfn.XLOOKUP(C569,customers!$A$1:$A$1001,customers!$C$1:$C$1001,,0)))</f>
        <v/>
      </c>
      <c r="H569" s="2" t="str">
        <f>_xlfn.XLOOKUP(C569,customers!$A$1:$A$1001,customers!$G$1:$G$1001,,0)</f>
        <v>Ireland</v>
      </c>
      <c r="I569" t="str">
        <f>INDEX(products!$A$1:$G$49,MATCH($D569,products!$A$1:$A$49,0),MATCH(I$1,products!$A$1:$G$1,0))</f>
        <v>Rob</v>
      </c>
      <c r="J569" t="str" cm="1">
        <f t="array" ref="J569">INDEX(products!$B$2:$E$49,MATCH($D569,products!$A$2:$A$49,0),COLUMN(B568))</f>
        <v>L</v>
      </c>
      <c r="K569" s="4" cm="1">
        <f t="array" ref="K569">INDEX(products!$B$2:$E$49,MATCH($D569,products!$A$2:$A$49,0),COLUMN(C568))</f>
        <v>2.5</v>
      </c>
      <c r="L569" s="5" cm="1">
        <f t="array" ref="L569">INDEX(products!$B$2:$E$49,MATCH($D569,products!$A$2:$A$49,0),COLUMN(D568))</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INDEX(products!$A$1:$G$49,MATCH($D570,products!$A$1:$A$49,0),MATCH(I$1,products!$A$1:$G$1,0))</f>
        <v>Lib</v>
      </c>
      <c r="J570" t="str" cm="1">
        <f t="array" ref="J570">INDEX(products!$B$2:$E$49,MATCH($D570,products!$A$2:$A$49,0),COLUMN(B569))</f>
        <v>L</v>
      </c>
      <c r="K570" s="4" cm="1">
        <f t="array" ref="K570">INDEX(products!$B$2:$E$49,MATCH($D570,products!$A$2:$A$49,0),COLUMN(C569))</f>
        <v>0.2</v>
      </c>
      <c r="L570" s="5" cm="1">
        <f t="array" ref="L570">INDEX(products!$B$2:$E$49,MATCH($D570,products!$A$2:$A$49,0),COLUMN(D569))</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INDEX(products!$A$1:$G$49,MATCH($D571,products!$A$1:$A$49,0),MATCH(I$1,products!$A$1:$G$1,0))</f>
        <v>Ara</v>
      </c>
      <c r="J571" t="str" cm="1">
        <f t="array" ref="J571">INDEX(products!$B$2:$E$49,MATCH($D571,products!$A$2:$A$49,0),COLUMN(B570))</f>
        <v>D</v>
      </c>
      <c r="K571" s="4" cm="1">
        <f t="array" ref="K571">INDEX(products!$B$2:$E$49,MATCH($D571,products!$A$2:$A$49,0),COLUMN(C570))</f>
        <v>2.5</v>
      </c>
      <c r="L571" s="5" cm="1">
        <f t="array" ref="L571">INDEX(products!$B$2:$E$49,MATCH($D571,products!$A$2:$A$49,0),COLUMN(D570))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INDEX(products!$A$1:$G$49,MATCH($D572,products!$A$1:$A$49,0),MATCH(I$1,products!$A$1:$G$1,0))</f>
        <v>Ara</v>
      </c>
      <c r="J572" t="str" cm="1">
        <f t="array" ref="J572">INDEX(products!$B$2:$E$49,MATCH($D572,products!$A$2:$A$49,0),COLUMN(B571))</f>
        <v>M</v>
      </c>
      <c r="K572" s="4" cm="1">
        <f t="array" ref="K572">INDEX(products!$B$2:$E$49,MATCH($D572,products!$A$2:$A$49,0),COLUMN(C571))</f>
        <v>0.5</v>
      </c>
      <c r="L572" s="5" cm="1">
        <f t="array" ref="L572">INDEX(products!$B$2:$E$49,MATCH($D572,products!$A$2:$A$49,0),COLUMN(D571))</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INDEX(products!$A$1:$G$49,MATCH($D573,products!$A$1:$A$49,0),MATCH(I$1,products!$A$1:$G$1,0))</f>
        <v>Exc</v>
      </c>
      <c r="J573" t="str" cm="1">
        <f t="array" ref="J573">INDEX(products!$B$2:$E$49,MATCH($D573,products!$A$2:$A$49,0),COLUMN(B572))</f>
        <v>L</v>
      </c>
      <c r="K573" s="4" cm="1">
        <f t="array" ref="K573">INDEX(products!$B$2:$E$49,MATCH($D573,products!$A$2:$A$49,0),COLUMN(C572))</f>
        <v>0.5</v>
      </c>
      <c r="L573" s="5" cm="1">
        <f t="array" ref="L573">INDEX(products!$B$2:$E$49,MATCH($D573,products!$A$2:$A$49,0),COLUMN(D572))</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f>
        <v>Herbie Peppard</v>
      </c>
      <c r="G574" s="2" t="str">
        <f>IF(_xlfn.XLOOKUP(C574,customers!$A$1:$A$1001,customers!$C$1:$C$1001,,0)=0,"",(_xlfn.XLOOKUP(C574,customers!$A$1:$A$1001,customers!$C$1:$C$1001,,0)))</f>
        <v/>
      </c>
      <c r="H574" s="2" t="str">
        <f>_xlfn.XLOOKUP(C574,customers!$A$1:$A$1001,customers!$G$1:$G$1001,,0)</f>
        <v>United States</v>
      </c>
      <c r="I574" t="str">
        <f>INDEX(products!$A$1:$G$49,MATCH($D574,products!$A$1:$A$49,0),MATCH(I$1,products!$A$1:$G$1,0))</f>
        <v>Ara</v>
      </c>
      <c r="J574" t="str" cm="1">
        <f t="array" ref="J574">INDEX(products!$B$2:$E$49,MATCH($D574,products!$A$2:$A$49,0),COLUMN(B573))</f>
        <v>D</v>
      </c>
      <c r="K574" s="4" cm="1">
        <f t="array" ref="K574">INDEX(products!$B$2:$E$49,MATCH($D574,products!$A$2:$A$49,0),COLUMN(C573))</f>
        <v>0.2</v>
      </c>
      <c r="L574" s="5" cm="1">
        <f t="array" ref="L574">INDEX(products!$B$2:$E$49,MATCH($D574,products!$A$2:$A$49,0),COLUMN(D573))</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INDEX(products!$A$1:$G$49,MATCH($D575,products!$A$1:$A$49,0),MATCH(I$1,products!$A$1:$G$1,0))</f>
        <v>Ara</v>
      </c>
      <c r="J575" t="str" cm="1">
        <f t="array" ref="J575">INDEX(products!$B$2:$E$49,MATCH($D575,products!$A$2:$A$49,0),COLUMN(B574))</f>
        <v>M</v>
      </c>
      <c r="K575" s="4" cm="1">
        <f t="array" ref="K575">INDEX(products!$B$2:$E$49,MATCH($D575,products!$A$2:$A$49,0),COLUMN(C574))</f>
        <v>1</v>
      </c>
      <c r="L575" s="5" cm="1">
        <f t="array" ref="L575">INDEX(products!$B$2:$E$49,MATCH($D575,products!$A$2:$A$49,0),COLUMN(D574))</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INDEX(products!$A$1:$G$49,MATCH($D576,products!$A$1:$A$49,0),MATCH(I$1,products!$A$1:$G$1,0))</f>
        <v>Rob</v>
      </c>
      <c r="J576" t="str" cm="1">
        <f t="array" ref="J576">INDEX(products!$B$2:$E$49,MATCH($D576,products!$A$2:$A$49,0),COLUMN(B575))</f>
        <v>L</v>
      </c>
      <c r="K576" s="4" cm="1">
        <f t="array" ref="K576">INDEX(products!$B$2:$E$49,MATCH($D576,products!$A$2:$A$49,0),COLUMN(C575))</f>
        <v>0.2</v>
      </c>
      <c r="L576" s="5" cm="1">
        <f t="array" ref="L576">INDEX(products!$B$2:$E$49,MATCH($D576,products!$A$2:$A$49,0),COLUMN(D575))</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INDEX(products!$A$1:$G$49,MATCH($D577,products!$A$1:$A$49,0),MATCH(I$1,products!$A$1:$G$1,0))</f>
        <v>Lib</v>
      </c>
      <c r="J577" t="str" cm="1">
        <f t="array" ref="J577">INDEX(products!$B$2:$E$49,MATCH($D577,products!$A$2:$A$49,0),COLUMN(B576))</f>
        <v>M</v>
      </c>
      <c r="K577" s="4" cm="1">
        <f t="array" ref="K577">INDEX(products!$B$2:$E$49,MATCH($D577,products!$A$2:$A$49,0),COLUMN(C576))</f>
        <v>2.5</v>
      </c>
      <c r="L577" s="5" cm="1">
        <f t="array" ref="L577">INDEX(products!$B$2:$E$49,MATCH($D577,products!$A$2:$A$49,0),COLUMN(D576))</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INDEX(products!$A$1:$G$49,MATCH($D578,products!$A$1:$A$49,0),MATCH(I$1,products!$A$1:$G$1,0))</f>
        <v>Ara</v>
      </c>
      <c r="J578" t="str" cm="1">
        <f t="array" ref="J578">INDEX(products!$B$2:$E$49,MATCH($D578,products!$A$2:$A$49,0),COLUMN(B577))</f>
        <v>D</v>
      </c>
      <c r="K578" s="4" cm="1">
        <f t="array" ref="K578">INDEX(products!$B$2:$E$49,MATCH($D578,products!$A$2:$A$49,0),COLUMN(C577))</f>
        <v>0.2</v>
      </c>
      <c r="L578" s="5" cm="1">
        <f t="array" ref="L578">INDEX(products!$B$2:$E$49,MATCH($D578,products!$A$2:$A$49,0),COLUMN(D577))</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INDEX(products!$A$1:$G$49,MATCH($D579,products!$A$1:$A$49,0),MATCH(I$1,products!$A$1:$G$1,0))</f>
        <v>Lib</v>
      </c>
      <c r="J579" t="str" cm="1">
        <f t="array" ref="J579">INDEX(products!$B$2:$E$49,MATCH($D579,products!$A$2:$A$49,0),COLUMN(B578))</f>
        <v>M</v>
      </c>
      <c r="K579" s="4" cm="1">
        <f t="array" ref="K579">INDEX(products!$B$2:$E$49,MATCH($D579,products!$A$2:$A$49,0),COLUMN(C578))</f>
        <v>1</v>
      </c>
      <c r="L579" s="5" cm="1">
        <f t="array" ref="L579">INDEX(products!$B$2:$E$49,MATCH($D579,products!$A$2:$A$49,0),COLUMN(D578))</f>
        <v>14.55</v>
      </c>
      <c r="M579" s="5">
        <f t="shared" ref="M579:M642" si="27">E579*L579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INDEX(products!$A$1:$G$49,MATCH($D580,products!$A$1:$A$49,0),MATCH(I$1,products!$A$1:$G$1,0))</f>
        <v>Exc</v>
      </c>
      <c r="J580" t="str" cm="1">
        <f t="array" ref="J580">INDEX(products!$B$2:$E$49,MATCH($D580,products!$A$2:$A$49,0),COLUMN(B579))</f>
        <v>L</v>
      </c>
      <c r="K580" s="4" cm="1">
        <f t="array" ref="K580">INDEX(products!$B$2:$E$49,MATCH($D580,products!$A$2:$A$49,0),COLUMN(C579))</f>
        <v>0.2</v>
      </c>
      <c r="L580" s="5" cm="1">
        <f t="array" ref="L580">INDEX(products!$B$2:$E$49,MATCH($D580,products!$A$2:$A$49,0),COLUMN(D579))</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INDEX(products!$A$1:$G$49,MATCH($D581,products!$A$1:$A$49,0),MATCH(I$1,products!$A$1:$G$1,0))</f>
        <v>Ara</v>
      </c>
      <c r="J581" t="str" cm="1">
        <f t="array" ref="J581">INDEX(products!$B$2:$E$49,MATCH($D581,products!$A$2:$A$49,0),COLUMN(B580))</f>
        <v>M</v>
      </c>
      <c r="K581" s="4" cm="1">
        <f t="array" ref="K581">INDEX(products!$B$2:$E$49,MATCH($D581,products!$A$2:$A$49,0),COLUMN(C580))</f>
        <v>0.5</v>
      </c>
      <c r="L581" s="5" cm="1">
        <f t="array" ref="L581">INDEX(products!$B$2:$E$49,MATCH($D581,products!$A$2:$A$49,0),COLUMN(D580))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INDEX(products!$A$1:$G$49,MATCH($D582,products!$A$1:$A$49,0),MATCH(I$1,products!$A$1:$G$1,0))</f>
        <v>Exc</v>
      </c>
      <c r="J582" t="str" cm="1">
        <f t="array" ref="J582">INDEX(products!$B$2:$E$49,MATCH($D582,products!$A$2:$A$49,0),COLUMN(B581))</f>
        <v>L</v>
      </c>
      <c r="K582" s="4" cm="1">
        <f t="array" ref="K582">INDEX(products!$B$2:$E$49,MATCH($D582,products!$A$2:$A$49,0),COLUMN(C581))</f>
        <v>1</v>
      </c>
      <c r="L582" s="5" cm="1">
        <f t="array" ref="L582">INDEX(products!$B$2:$E$49,MATCH($D582,products!$A$2:$A$49,0),COLUMN(D581))</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INDEX(products!$A$1:$G$49,MATCH($D583,products!$A$1:$A$49,0),MATCH(I$1,products!$A$1:$G$1,0))</f>
        <v>Exc</v>
      </c>
      <c r="J583" t="str" cm="1">
        <f t="array" ref="J583">INDEX(products!$B$2:$E$49,MATCH($D583,products!$A$2:$A$49,0),COLUMN(B582))</f>
        <v>L</v>
      </c>
      <c r="K583" s="4" cm="1">
        <f t="array" ref="K583">INDEX(products!$B$2:$E$49,MATCH($D583,products!$A$2:$A$49,0),COLUMN(C582))</f>
        <v>0.5</v>
      </c>
      <c r="L583" s="5" cm="1">
        <f t="array" ref="L583">INDEX(products!$B$2:$E$49,MATCH($D583,products!$A$2:$A$49,0),COLUMN(D582))</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INDEX(products!$A$1:$G$49,MATCH($D584,products!$A$1:$A$49,0),MATCH(I$1,products!$A$1:$G$1,0))</f>
        <v>Exc</v>
      </c>
      <c r="J584" t="str" cm="1">
        <f t="array" ref="J584">INDEX(products!$B$2:$E$49,MATCH($D584,products!$A$2:$A$49,0),COLUMN(B583))</f>
        <v>D</v>
      </c>
      <c r="K584" s="4" cm="1">
        <f t="array" ref="K584">INDEX(products!$B$2:$E$49,MATCH($D584,products!$A$2:$A$49,0),COLUMN(C583))</f>
        <v>1</v>
      </c>
      <c r="L584" s="5" cm="1">
        <f t="array" ref="L584">INDEX(products!$B$2:$E$49,MATCH($D584,products!$A$2:$A$49,0),COLUMN(D583))</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INDEX(products!$A$1:$G$49,MATCH($D585,products!$A$1:$A$49,0),MATCH(I$1,products!$A$1:$G$1,0))</f>
        <v>Rob</v>
      </c>
      <c r="J585" t="str" cm="1">
        <f t="array" ref="J585">INDEX(products!$B$2:$E$49,MATCH($D585,products!$A$2:$A$49,0),COLUMN(B584))</f>
        <v>L</v>
      </c>
      <c r="K585" s="4" cm="1">
        <f t="array" ref="K585">INDEX(products!$B$2:$E$49,MATCH($D585,products!$A$2:$A$49,0),COLUMN(C584))</f>
        <v>0.2</v>
      </c>
      <c r="L585" s="5" cm="1">
        <f t="array" ref="L585">INDEX(products!$B$2:$E$49,MATCH($D585,products!$A$2:$A$49,0),COLUMN(D584))</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INDEX(products!$A$1:$G$49,MATCH($D586,products!$A$1:$A$49,0),MATCH(I$1,products!$A$1:$G$1,0))</f>
        <v>Rob</v>
      </c>
      <c r="J586" t="str" cm="1">
        <f t="array" ref="J586">INDEX(products!$B$2:$E$49,MATCH($D586,products!$A$2:$A$49,0),COLUMN(B585))</f>
        <v>L</v>
      </c>
      <c r="K586" s="4" cm="1">
        <f t="array" ref="K586">INDEX(products!$B$2:$E$49,MATCH($D586,products!$A$2:$A$49,0),COLUMN(C585))</f>
        <v>0.2</v>
      </c>
      <c r="L586" s="5" cm="1">
        <f t="array" ref="L586">INDEX(products!$B$2:$E$49,MATCH($D586,products!$A$2:$A$49,0),COLUMN(D585))</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INDEX(products!$A$1:$G$49,MATCH($D587,products!$A$1:$A$49,0),MATCH(I$1,products!$A$1:$G$1,0))</f>
        <v>Exc</v>
      </c>
      <c r="J587" t="str" cm="1">
        <f t="array" ref="J587">INDEX(products!$B$2:$E$49,MATCH($D587,products!$A$2:$A$49,0),COLUMN(B586))</f>
        <v>M</v>
      </c>
      <c r="K587" s="4" cm="1">
        <f t="array" ref="K587">INDEX(products!$B$2:$E$49,MATCH($D587,products!$A$2:$A$49,0),COLUMN(C586))</f>
        <v>0.5</v>
      </c>
      <c r="L587" s="5" cm="1">
        <f t="array" ref="L587">INDEX(products!$B$2:$E$49,MATCH($D587,products!$A$2:$A$49,0),COLUMN(D586))</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f>
        <v>Zilvia Claisse</v>
      </c>
      <c r="G588" s="2" t="str">
        <f>IF(_xlfn.XLOOKUP(C588,customers!$A$1:$A$1001,customers!$C$1:$C$1001,,0)=0,"",(_xlfn.XLOOKUP(C588,customers!$A$1:$A$1001,customers!$C$1:$C$1001,,0)))</f>
        <v/>
      </c>
      <c r="H588" s="2" t="str">
        <f>_xlfn.XLOOKUP(C588,customers!$A$1:$A$1001,customers!$G$1:$G$1001,,0)</f>
        <v>United States</v>
      </c>
      <c r="I588" t="str">
        <f>INDEX(products!$A$1:$G$49,MATCH($D588,products!$A$1:$A$49,0),MATCH(I$1,products!$A$1:$G$1,0))</f>
        <v>Rob</v>
      </c>
      <c r="J588" t="str" cm="1">
        <f t="array" ref="J588">INDEX(products!$B$2:$E$49,MATCH($D588,products!$A$2:$A$49,0),COLUMN(B587))</f>
        <v>L</v>
      </c>
      <c r="K588" s="4" cm="1">
        <f t="array" ref="K588">INDEX(products!$B$2:$E$49,MATCH($D588,products!$A$2:$A$49,0),COLUMN(C587))</f>
        <v>2.5</v>
      </c>
      <c r="L588" s="5" cm="1">
        <f t="array" ref="L588">INDEX(products!$B$2:$E$49,MATCH($D588,products!$A$2:$A$49,0),COLUMN(D587))</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INDEX(products!$A$1:$G$49,MATCH($D589,products!$A$1:$A$49,0),MATCH(I$1,products!$A$1:$G$1,0))</f>
        <v>Lib</v>
      </c>
      <c r="J589" t="str" cm="1">
        <f t="array" ref="J589">INDEX(products!$B$2:$E$49,MATCH($D589,products!$A$2:$A$49,0),COLUMN(B588))</f>
        <v>D</v>
      </c>
      <c r="K589" s="4" cm="1">
        <f t="array" ref="K589">INDEX(products!$B$2:$E$49,MATCH($D589,products!$A$2:$A$49,0),COLUMN(C588))</f>
        <v>0.5</v>
      </c>
      <c r="L589" s="5" cm="1">
        <f t="array" ref="L589">INDEX(products!$B$2:$E$49,MATCH($D589,products!$A$2:$A$49,0),COLUMN(D588))</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INDEX(products!$A$1:$G$49,MATCH($D590,products!$A$1:$A$49,0),MATCH(I$1,products!$A$1:$G$1,0))</f>
        <v>Rob</v>
      </c>
      <c r="J590" t="str" cm="1">
        <f t="array" ref="J590">INDEX(products!$B$2:$E$49,MATCH($D590,products!$A$2:$A$49,0),COLUMN(B589))</f>
        <v>M</v>
      </c>
      <c r="K590" s="4" cm="1">
        <f t="array" ref="K590">INDEX(products!$B$2:$E$49,MATCH($D590,products!$A$2:$A$49,0),COLUMN(C589))</f>
        <v>0.5</v>
      </c>
      <c r="L590" s="5" cm="1">
        <f t="array" ref="L590">INDEX(products!$B$2:$E$49,MATCH($D590,products!$A$2:$A$49,0),COLUMN(D589))</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INDEX(products!$A$1:$G$49,MATCH($D591,products!$A$1:$A$49,0),MATCH(I$1,products!$A$1:$G$1,0))</f>
        <v>Exc</v>
      </c>
      <c r="J591" t="str" cm="1">
        <f t="array" ref="J591">INDEX(products!$B$2:$E$49,MATCH($D591,products!$A$2:$A$49,0),COLUMN(B590))</f>
        <v>L</v>
      </c>
      <c r="K591" s="4" cm="1">
        <f t="array" ref="K591">INDEX(products!$B$2:$E$49,MATCH($D591,products!$A$2:$A$49,0),COLUMN(C590))</f>
        <v>2.5</v>
      </c>
      <c r="L591" s="5" cm="1">
        <f t="array" ref="L591">INDEX(products!$B$2:$E$49,MATCH($D591,products!$A$2:$A$49,0),COLUMN(D590))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INDEX(products!$A$1:$G$49,MATCH($D592,products!$A$1:$A$49,0),MATCH(I$1,products!$A$1:$G$1,0))</f>
        <v>Exc</v>
      </c>
      <c r="J592" t="str" cm="1">
        <f t="array" ref="J592">INDEX(products!$B$2:$E$49,MATCH($D592,products!$A$2:$A$49,0),COLUMN(B591))</f>
        <v>M</v>
      </c>
      <c r="K592" s="4" cm="1">
        <f t="array" ref="K592">INDEX(products!$B$2:$E$49,MATCH($D592,products!$A$2:$A$49,0),COLUMN(C591))</f>
        <v>2.5</v>
      </c>
      <c r="L592" s="5" cm="1">
        <f t="array" ref="L592">INDEX(products!$B$2:$E$49,MATCH($D592,products!$A$2:$A$49,0),COLUMN(D591))</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INDEX(products!$A$1:$G$49,MATCH($D593,products!$A$1:$A$49,0),MATCH(I$1,products!$A$1:$G$1,0))</f>
        <v>Rob</v>
      </c>
      <c r="J593" t="str" cm="1">
        <f t="array" ref="J593">INDEX(products!$B$2:$E$49,MATCH($D593,products!$A$2:$A$49,0),COLUMN(B592))</f>
        <v>D</v>
      </c>
      <c r="K593" s="4" cm="1">
        <f t="array" ref="K593">INDEX(products!$B$2:$E$49,MATCH($D593,products!$A$2:$A$49,0),COLUMN(C592))</f>
        <v>0.2</v>
      </c>
      <c r="L593" s="5" cm="1">
        <f t="array" ref="L593">INDEX(products!$B$2:$E$49,MATCH($D593,products!$A$2:$A$49,0),COLUMN(D592))</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f>
        <v>Kylie Mowat</v>
      </c>
      <c r="G594" s="2" t="str">
        <f>IF(_xlfn.XLOOKUP(C594,customers!$A$1:$A$1001,customers!$C$1:$C$1001,,0)=0,"",(_xlfn.XLOOKUP(C594,customers!$A$1:$A$1001,customers!$C$1:$C$1001,,0)))</f>
        <v/>
      </c>
      <c r="H594" s="2" t="str">
        <f>_xlfn.XLOOKUP(C594,customers!$A$1:$A$1001,customers!$G$1:$G$1001,,0)</f>
        <v>United States</v>
      </c>
      <c r="I594" t="str">
        <f>INDEX(products!$A$1:$G$49,MATCH($D594,products!$A$1:$A$49,0),MATCH(I$1,products!$A$1:$G$1,0))</f>
        <v>Ara</v>
      </c>
      <c r="J594" t="str" cm="1">
        <f t="array" ref="J594">INDEX(products!$B$2:$E$49,MATCH($D594,products!$A$2:$A$49,0),COLUMN(B593))</f>
        <v>M</v>
      </c>
      <c r="K594" s="4" cm="1">
        <f t="array" ref="K594">INDEX(products!$B$2:$E$49,MATCH($D594,products!$A$2:$A$49,0),COLUMN(C593))</f>
        <v>2.5</v>
      </c>
      <c r="L594" s="5" cm="1">
        <f t="array" ref="L594">INDEX(products!$B$2:$E$49,MATCH($D594,products!$A$2:$A$49,0),COLUMN(D593))</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INDEX(products!$A$1:$G$49,MATCH($D595,products!$A$1:$A$49,0),MATCH(I$1,products!$A$1:$G$1,0))</f>
        <v>Exc</v>
      </c>
      <c r="J595" t="str" cm="1">
        <f t="array" ref="J595">INDEX(products!$B$2:$E$49,MATCH($D595,products!$A$2:$A$49,0),COLUMN(B594))</f>
        <v>D</v>
      </c>
      <c r="K595" s="4" cm="1">
        <f t="array" ref="K595">INDEX(products!$B$2:$E$49,MATCH($D595,products!$A$2:$A$49,0),COLUMN(C594))</f>
        <v>2.5</v>
      </c>
      <c r="L595" s="5" cm="1">
        <f t="array" ref="L595">INDEX(products!$B$2:$E$49,MATCH($D595,products!$A$2:$A$49,0),COLUMN(D594))</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INDEX(products!$A$1:$G$49,MATCH($D596,products!$A$1:$A$49,0),MATCH(I$1,products!$A$1:$G$1,0))</f>
        <v>Ara</v>
      </c>
      <c r="J596" t="str" cm="1">
        <f t="array" ref="J596">INDEX(products!$B$2:$E$49,MATCH($D596,products!$A$2:$A$49,0),COLUMN(B595))</f>
        <v>L</v>
      </c>
      <c r="K596" s="4" cm="1">
        <f t="array" ref="K596">INDEX(products!$B$2:$E$49,MATCH($D596,products!$A$2:$A$49,0),COLUMN(C595))</f>
        <v>2.5</v>
      </c>
      <c r="L596" s="5" cm="1">
        <f t="array" ref="L596">INDEX(products!$B$2:$E$49,MATCH($D596,products!$A$2:$A$49,0),COLUMN(D595))</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f>
        <v>Darby Dummer</v>
      </c>
      <c r="G597" s="2" t="str">
        <f>IF(_xlfn.XLOOKUP(C597,customers!$A$1:$A$1001,customers!$C$1:$C$1001,,0)=0,"",(_xlfn.XLOOKUP(C597,customers!$A$1:$A$1001,customers!$C$1:$C$1001,,0)))</f>
        <v/>
      </c>
      <c r="H597" s="2" t="str">
        <f>_xlfn.XLOOKUP(C597,customers!$A$1:$A$1001,customers!$G$1:$G$1001,,0)</f>
        <v>United Kingdom</v>
      </c>
      <c r="I597" t="str">
        <f>INDEX(products!$A$1:$G$49,MATCH($D597,products!$A$1:$A$49,0),MATCH(I$1,products!$A$1:$G$1,0))</f>
        <v>Exc</v>
      </c>
      <c r="J597" t="str" cm="1">
        <f t="array" ref="J597">INDEX(products!$B$2:$E$49,MATCH($D597,products!$A$2:$A$49,0),COLUMN(B596))</f>
        <v>L</v>
      </c>
      <c r="K597" s="4" cm="1">
        <f t="array" ref="K597">INDEX(products!$B$2:$E$49,MATCH($D597,products!$A$2:$A$49,0),COLUMN(C596))</f>
        <v>1</v>
      </c>
      <c r="L597" s="5" cm="1">
        <f t="array" ref="L597">INDEX(products!$B$2:$E$49,MATCH($D597,products!$A$2:$A$49,0),COLUMN(D596))</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INDEX(products!$A$1:$G$49,MATCH($D598,products!$A$1:$A$49,0),MATCH(I$1,products!$A$1:$G$1,0))</f>
        <v>Ara</v>
      </c>
      <c r="J598" t="str" cm="1">
        <f t="array" ref="J598">INDEX(products!$B$2:$E$49,MATCH($D598,products!$A$2:$A$49,0),COLUMN(B597))</f>
        <v>M</v>
      </c>
      <c r="K598" s="4" cm="1">
        <f t="array" ref="K598">INDEX(products!$B$2:$E$49,MATCH($D598,products!$A$2:$A$49,0),COLUMN(C597))</f>
        <v>0.5</v>
      </c>
      <c r="L598" s="5" cm="1">
        <f t="array" ref="L598">INDEX(products!$B$2:$E$49,MATCH($D598,products!$A$2:$A$49,0),COLUMN(D597))</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INDEX(products!$A$1:$G$49,MATCH($D599,products!$A$1:$A$49,0),MATCH(I$1,products!$A$1:$G$1,0))</f>
        <v>Lib</v>
      </c>
      <c r="J599" t="str" cm="1">
        <f t="array" ref="J599">INDEX(products!$B$2:$E$49,MATCH($D599,products!$A$2:$A$49,0),COLUMN(B598))</f>
        <v>L</v>
      </c>
      <c r="K599" s="4" cm="1">
        <f t="array" ref="K599">INDEX(products!$B$2:$E$49,MATCH($D599,products!$A$2:$A$49,0),COLUMN(C598))</f>
        <v>2.5</v>
      </c>
      <c r="L599" s="5" cm="1">
        <f t="array" ref="L599">INDEX(products!$B$2:$E$49,MATCH($D599,products!$A$2:$A$49,0),COLUMN(D598))</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INDEX(products!$A$1:$G$49,MATCH($D600,products!$A$1:$A$49,0),MATCH(I$1,products!$A$1:$G$1,0))</f>
        <v>Rob</v>
      </c>
      <c r="J600" t="str" cm="1">
        <f t="array" ref="J600">INDEX(products!$B$2:$E$49,MATCH($D600,products!$A$2:$A$49,0),COLUMN(B599))</f>
        <v>M</v>
      </c>
      <c r="K600" s="4" cm="1">
        <f t="array" ref="K600">INDEX(products!$B$2:$E$49,MATCH($D600,products!$A$2:$A$49,0),COLUMN(C599))</f>
        <v>0.2</v>
      </c>
      <c r="L600" s="5" cm="1">
        <f t="array" ref="L600">INDEX(products!$B$2:$E$49,MATCH($D600,products!$A$2:$A$49,0),COLUMN(D599))</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INDEX(products!$A$1:$G$49,MATCH($D601,products!$A$1:$A$49,0),MATCH(I$1,products!$A$1:$G$1,0))</f>
        <v>Ara</v>
      </c>
      <c r="J601" t="str" cm="1">
        <f t="array" ref="J601">INDEX(products!$B$2:$E$49,MATCH($D601,products!$A$2:$A$49,0),COLUMN(B600))</f>
        <v>D</v>
      </c>
      <c r="K601" s="4" cm="1">
        <f t="array" ref="K601">INDEX(products!$B$2:$E$49,MATCH($D601,products!$A$2:$A$49,0),COLUMN(C600))</f>
        <v>0.2</v>
      </c>
      <c r="L601" s="5" cm="1">
        <f t="array" ref="L601">INDEX(products!$B$2:$E$49,MATCH($D601,products!$A$2:$A$49,0),COLUMN(D600))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INDEX(products!$A$1:$G$49,MATCH($D602,products!$A$1:$A$49,0),MATCH(I$1,products!$A$1:$G$1,0))</f>
        <v>Lib</v>
      </c>
      <c r="J602" t="str" cm="1">
        <f t="array" ref="J602">INDEX(products!$B$2:$E$49,MATCH($D602,products!$A$2:$A$49,0),COLUMN(B601))</f>
        <v>D</v>
      </c>
      <c r="K602" s="4" cm="1">
        <f t="array" ref="K602">INDEX(products!$B$2:$E$49,MATCH($D602,products!$A$2:$A$49,0),COLUMN(C601))</f>
        <v>0.5</v>
      </c>
      <c r="L602" s="5" cm="1">
        <f t="array" ref="L602">INDEX(products!$B$2:$E$49,MATCH($D602,products!$A$2:$A$49,0),COLUMN(D601))</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INDEX(products!$A$1:$G$49,MATCH($D603,products!$A$1:$A$49,0),MATCH(I$1,products!$A$1:$G$1,0))</f>
        <v>Rob</v>
      </c>
      <c r="J603" t="str" cm="1">
        <f t="array" ref="J603">INDEX(products!$B$2:$E$49,MATCH($D603,products!$A$2:$A$49,0),COLUMN(B602))</f>
        <v>L</v>
      </c>
      <c r="K603" s="4" cm="1">
        <f t="array" ref="K603">INDEX(products!$B$2:$E$49,MATCH($D603,products!$A$2:$A$49,0),COLUMN(C602))</f>
        <v>2.5</v>
      </c>
      <c r="L603" s="5" cm="1">
        <f t="array" ref="L603">INDEX(products!$B$2:$E$49,MATCH($D603,products!$A$2:$A$49,0),COLUMN(D602))</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INDEX(products!$A$1:$G$49,MATCH($D604,products!$A$1:$A$49,0),MATCH(I$1,products!$A$1:$G$1,0))</f>
        <v>Exc</v>
      </c>
      <c r="J604" t="str" cm="1">
        <f t="array" ref="J604">INDEX(products!$B$2:$E$49,MATCH($D604,products!$A$2:$A$49,0),COLUMN(B603))</f>
        <v>L</v>
      </c>
      <c r="K604" s="4" cm="1">
        <f t="array" ref="K604">INDEX(products!$B$2:$E$49,MATCH($D604,products!$A$2:$A$49,0),COLUMN(C603))</f>
        <v>0.2</v>
      </c>
      <c r="L604" s="5" cm="1">
        <f t="array" ref="L604">INDEX(products!$B$2:$E$49,MATCH($D604,products!$A$2:$A$49,0),COLUMN(D603))</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INDEX(products!$A$1:$G$49,MATCH($D605,products!$A$1:$A$49,0),MATCH(I$1,products!$A$1:$G$1,0))</f>
        <v>Rob</v>
      </c>
      <c r="J605" t="str" cm="1">
        <f t="array" ref="J605">INDEX(products!$B$2:$E$49,MATCH($D605,products!$A$2:$A$49,0),COLUMN(B604))</f>
        <v>M</v>
      </c>
      <c r="K605" s="4" cm="1">
        <f t="array" ref="K605">INDEX(products!$B$2:$E$49,MATCH($D605,products!$A$2:$A$49,0),COLUMN(C604))</f>
        <v>0.2</v>
      </c>
      <c r="L605" s="5" cm="1">
        <f t="array" ref="L605">INDEX(products!$B$2:$E$49,MATCH($D605,products!$A$2:$A$49,0),COLUMN(D604))</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f>
        <v>Jorge Bettison</v>
      </c>
      <c r="G606" s="2" t="str">
        <f>IF(_xlfn.XLOOKUP(C606,customers!$A$1:$A$1001,customers!$C$1:$C$1001,,0)=0,"",(_xlfn.XLOOKUP(C606,customers!$A$1:$A$1001,customers!$C$1:$C$1001,,0)))</f>
        <v/>
      </c>
      <c r="H606" s="2" t="str">
        <f>_xlfn.XLOOKUP(C606,customers!$A$1:$A$1001,customers!$G$1:$G$1001,,0)</f>
        <v>Ireland</v>
      </c>
      <c r="I606" t="str">
        <f>INDEX(products!$A$1:$G$49,MATCH($D606,products!$A$1:$A$49,0),MATCH(I$1,products!$A$1:$G$1,0))</f>
        <v>Lib</v>
      </c>
      <c r="J606" t="str" cm="1">
        <f t="array" ref="J606">INDEX(products!$B$2:$E$49,MATCH($D606,products!$A$2:$A$49,0),COLUMN(B605))</f>
        <v>D</v>
      </c>
      <c r="K606" s="4" cm="1">
        <f t="array" ref="K606">INDEX(products!$B$2:$E$49,MATCH($D606,products!$A$2:$A$49,0),COLUMN(C605))</f>
        <v>2.5</v>
      </c>
      <c r="L606" s="5" cm="1">
        <f t="array" ref="L606">INDEX(products!$B$2:$E$49,MATCH($D606,products!$A$2:$A$49,0),COLUMN(D605))</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INDEX(products!$A$1:$G$49,MATCH($D607,products!$A$1:$A$49,0),MATCH(I$1,products!$A$1:$G$1,0))</f>
        <v>Ara</v>
      </c>
      <c r="J607" t="str" cm="1">
        <f t="array" ref="J607">INDEX(products!$B$2:$E$49,MATCH($D607,products!$A$2:$A$49,0),COLUMN(B606))</f>
        <v>L</v>
      </c>
      <c r="K607" s="4" cm="1">
        <f t="array" ref="K607">INDEX(products!$B$2:$E$49,MATCH($D607,products!$A$2:$A$49,0),COLUMN(C606))</f>
        <v>2.5</v>
      </c>
      <c r="L607" s="5" cm="1">
        <f t="array" ref="L607">INDEX(products!$B$2:$E$49,MATCH($D607,products!$A$2:$A$49,0),COLUMN(D606))</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INDEX(products!$A$1:$G$49,MATCH($D608,products!$A$1:$A$49,0),MATCH(I$1,products!$A$1:$G$1,0))</f>
        <v>Lib</v>
      </c>
      <c r="J608" t="str" cm="1">
        <f t="array" ref="J608">INDEX(products!$B$2:$E$49,MATCH($D608,products!$A$2:$A$49,0),COLUMN(B607))</f>
        <v>L</v>
      </c>
      <c r="K608" s="4" cm="1">
        <f t="array" ref="K608">INDEX(products!$B$2:$E$49,MATCH($D608,products!$A$2:$A$49,0),COLUMN(C607))</f>
        <v>2.5</v>
      </c>
      <c r="L608" s="5" cm="1">
        <f t="array" ref="L608">INDEX(products!$B$2:$E$49,MATCH($D608,products!$A$2:$A$49,0),COLUMN(D607))</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INDEX(products!$A$1:$G$49,MATCH($D609,products!$A$1:$A$49,0),MATCH(I$1,products!$A$1:$G$1,0))</f>
        <v>Exc</v>
      </c>
      <c r="J609" t="str" cm="1">
        <f t="array" ref="J609">INDEX(products!$B$2:$E$49,MATCH($D609,products!$A$2:$A$49,0),COLUMN(B608))</f>
        <v>D</v>
      </c>
      <c r="K609" s="4" cm="1">
        <f t="array" ref="K609">INDEX(products!$B$2:$E$49,MATCH($D609,products!$A$2:$A$49,0),COLUMN(C608))</f>
        <v>0.2</v>
      </c>
      <c r="L609" s="5" cm="1">
        <f t="array" ref="L609">INDEX(products!$B$2:$E$49,MATCH($D609,products!$A$2:$A$49,0),COLUMN(D608))</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f>
        <v>Billy Neiland</v>
      </c>
      <c r="G610" s="2" t="str">
        <f>IF(_xlfn.XLOOKUP(C610,customers!$A$1:$A$1001,customers!$C$1:$C$1001,,0)=0,"",(_xlfn.XLOOKUP(C610,customers!$A$1:$A$1001,customers!$C$1:$C$1001,,0)))</f>
        <v/>
      </c>
      <c r="H610" s="2" t="str">
        <f>_xlfn.XLOOKUP(C610,customers!$A$1:$A$1001,customers!$G$1:$G$1001,,0)</f>
        <v>United States</v>
      </c>
      <c r="I610" t="str">
        <f>INDEX(products!$A$1:$G$49,MATCH($D610,products!$A$1:$A$49,0),MATCH(I$1,products!$A$1:$G$1,0))</f>
        <v>Exc</v>
      </c>
      <c r="J610" t="str" cm="1">
        <f t="array" ref="J610">INDEX(products!$B$2:$E$49,MATCH($D610,products!$A$2:$A$49,0),COLUMN(B609))</f>
        <v>D</v>
      </c>
      <c r="K610" s="4" cm="1">
        <f t="array" ref="K610">INDEX(products!$B$2:$E$49,MATCH($D610,products!$A$2:$A$49,0),COLUMN(C609))</f>
        <v>2.5</v>
      </c>
      <c r="L610" s="5" cm="1">
        <f t="array" ref="L610">INDEX(products!$B$2:$E$49,MATCH($D610,products!$A$2:$A$49,0),COLUMN(D609))</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INDEX(products!$A$1:$G$49,MATCH($D611,products!$A$1:$A$49,0),MATCH(I$1,products!$A$1:$G$1,0))</f>
        <v>Lib</v>
      </c>
      <c r="J611" t="str" cm="1">
        <f t="array" ref="J611">INDEX(products!$B$2:$E$49,MATCH($D611,products!$A$2:$A$49,0),COLUMN(B610))</f>
        <v>M</v>
      </c>
      <c r="K611" s="4" cm="1">
        <f t="array" ref="K611">INDEX(products!$B$2:$E$49,MATCH($D611,products!$A$2:$A$49,0),COLUMN(C610))</f>
        <v>0.2</v>
      </c>
      <c r="L611" s="5" cm="1">
        <f t="array" ref="L611">INDEX(products!$B$2:$E$49,MATCH($D611,products!$A$2:$A$49,0),COLUMN(D610))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INDEX(products!$A$1:$G$49,MATCH($D612,products!$A$1:$A$49,0),MATCH(I$1,products!$A$1:$G$1,0))</f>
        <v>Rob</v>
      </c>
      <c r="J612" t="str" cm="1">
        <f t="array" ref="J612">INDEX(products!$B$2:$E$49,MATCH($D612,products!$A$2:$A$49,0),COLUMN(B611))</f>
        <v>M</v>
      </c>
      <c r="K612" s="4" cm="1">
        <f t="array" ref="K612">INDEX(products!$B$2:$E$49,MATCH($D612,products!$A$2:$A$49,0),COLUMN(C611))</f>
        <v>1</v>
      </c>
      <c r="L612" s="5" cm="1">
        <f t="array" ref="L612">INDEX(products!$B$2:$E$49,MATCH($D612,products!$A$2:$A$49,0),COLUMN(D611))</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INDEX(products!$A$1:$G$49,MATCH($D613,products!$A$1:$A$49,0),MATCH(I$1,products!$A$1:$G$1,0))</f>
        <v>Exc</v>
      </c>
      <c r="J613" t="str" cm="1">
        <f t="array" ref="J613">INDEX(products!$B$2:$E$49,MATCH($D613,products!$A$2:$A$49,0),COLUMN(B612))</f>
        <v>L</v>
      </c>
      <c r="K613" s="4" cm="1">
        <f t="array" ref="K613">INDEX(products!$B$2:$E$49,MATCH($D613,products!$A$2:$A$49,0),COLUMN(C612))</f>
        <v>2.5</v>
      </c>
      <c r="L613" s="5" cm="1">
        <f t="array" ref="L613">INDEX(products!$B$2:$E$49,MATCH($D613,products!$A$2:$A$49,0),COLUMN(D612))</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f>
        <v>Betti Lacasa</v>
      </c>
      <c r="G614" s="2" t="str">
        <f>IF(_xlfn.XLOOKUP(C614,customers!$A$1:$A$1001,customers!$C$1:$C$1001,,0)=0,"",(_xlfn.XLOOKUP(C614,customers!$A$1:$A$1001,customers!$C$1:$C$1001,,0)))</f>
        <v/>
      </c>
      <c r="H614" s="2" t="str">
        <f>_xlfn.XLOOKUP(C614,customers!$A$1:$A$1001,customers!$G$1:$G$1001,,0)</f>
        <v>Ireland</v>
      </c>
      <c r="I614" t="str">
        <f>INDEX(products!$A$1:$G$49,MATCH($D614,products!$A$1:$A$49,0),MATCH(I$1,products!$A$1:$G$1,0))</f>
        <v>Ara</v>
      </c>
      <c r="J614" t="str" cm="1">
        <f t="array" ref="J614">INDEX(products!$B$2:$E$49,MATCH($D614,products!$A$2:$A$49,0),COLUMN(B613))</f>
        <v>M</v>
      </c>
      <c r="K614" s="4" cm="1">
        <f t="array" ref="K614">INDEX(products!$B$2:$E$49,MATCH($D614,products!$A$2:$A$49,0),COLUMN(C613))</f>
        <v>0.2</v>
      </c>
      <c r="L614" s="5" cm="1">
        <f t="array" ref="L614">INDEX(products!$B$2:$E$49,MATCH($D614,products!$A$2:$A$49,0),COLUMN(D613))</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f>
        <v>Gunilla Lynch</v>
      </c>
      <c r="G615" s="2" t="str">
        <f>IF(_xlfn.XLOOKUP(C615,customers!$A$1:$A$1001,customers!$C$1:$C$1001,,0)=0,"",(_xlfn.XLOOKUP(C615,customers!$A$1:$A$1001,customers!$C$1:$C$1001,,0)))</f>
        <v/>
      </c>
      <c r="H615" s="2" t="str">
        <f>_xlfn.XLOOKUP(C615,customers!$A$1:$A$1001,customers!$G$1:$G$1001,,0)</f>
        <v>United States</v>
      </c>
      <c r="I615" t="str">
        <f>INDEX(products!$A$1:$G$49,MATCH($D615,products!$A$1:$A$49,0),MATCH(I$1,products!$A$1:$G$1,0))</f>
        <v>Rob</v>
      </c>
      <c r="J615" t="str" cm="1">
        <f t="array" ref="J615">INDEX(products!$B$2:$E$49,MATCH($D615,products!$A$2:$A$49,0),COLUMN(B614))</f>
        <v>M</v>
      </c>
      <c r="K615" s="4" cm="1">
        <f t="array" ref="K615">INDEX(products!$B$2:$E$49,MATCH($D615,products!$A$2:$A$49,0),COLUMN(C614))</f>
        <v>0.5</v>
      </c>
      <c r="L615" s="5" cm="1">
        <f t="array" ref="L615">INDEX(products!$B$2:$E$49,MATCH($D615,products!$A$2:$A$49,0),COLUMN(D614))</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INDEX(products!$A$1:$G$49,MATCH($D616,products!$A$1:$A$49,0),MATCH(I$1,products!$A$1:$G$1,0))</f>
        <v>Rob</v>
      </c>
      <c r="J616" t="str" cm="1">
        <f t="array" ref="J616">INDEX(products!$B$2:$E$49,MATCH($D616,products!$A$2:$A$49,0),COLUMN(B615))</f>
        <v>M</v>
      </c>
      <c r="K616" s="4" cm="1">
        <f t="array" ref="K616">INDEX(products!$B$2:$E$49,MATCH($D616,products!$A$2:$A$49,0),COLUMN(C615))</f>
        <v>0.5</v>
      </c>
      <c r="L616" s="5" cm="1">
        <f t="array" ref="L616">INDEX(products!$B$2:$E$49,MATCH($D616,products!$A$2:$A$49,0),COLUMN(D615))</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INDEX(products!$A$1:$G$49,MATCH($D617,products!$A$1:$A$49,0),MATCH(I$1,products!$A$1:$G$1,0))</f>
        <v>Lib</v>
      </c>
      <c r="J617" t="str" cm="1">
        <f t="array" ref="J617">INDEX(products!$B$2:$E$49,MATCH($D617,products!$A$2:$A$49,0),COLUMN(B616))</f>
        <v>L</v>
      </c>
      <c r="K617" s="4" cm="1">
        <f t="array" ref="K617">INDEX(products!$B$2:$E$49,MATCH($D617,products!$A$2:$A$49,0),COLUMN(C616))</f>
        <v>2.5</v>
      </c>
      <c r="L617" s="5" cm="1">
        <f t="array" ref="L617">INDEX(products!$B$2:$E$49,MATCH($D617,products!$A$2:$A$49,0),COLUMN(D616))</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INDEX(products!$A$1:$G$49,MATCH($D618,products!$A$1:$A$49,0),MATCH(I$1,products!$A$1:$G$1,0))</f>
        <v>Exc</v>
      </c>
      <c r="J618" t="str" cm="1">
        <f t="array" ref="J618">INDEX(products!$B$2:$E$49,MATCH($D618,products!$A$2:$A$49,0),COLUMN(B617))</f>
        <v>M</v>
      </c>
      <c r="K618" s="4" cm="1">
        <f t="array" ref="K618">INDEX(products!$B$2:$E$49,MATCH($D618,products!$A$2:$A$49,0),COLUMN(C617))</f>
        <v>2.5</v>
      </c>
      <c r="L618" s="5" cm="1">
        <f t="array" ref="L618">INDEX(products!$B$2:$E$49,MATCH($D618,products!$A$2:$A$49,0),COLUMN(D617))</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INDEX(products!$A$1:$G$49,MATCH($D619,products!$A$1:$A$49,0),MATCH(I$1,products!$A$1:$G$1,0))</f>
        <v>Lib</v>
      </c>
      <c r="J619" t="str" cm="1">
        <f t="array" ref="J619">INDEX(products!$B$2:$E$49,MATCH($D619,products!$A$2:$A$49,0),COLUMN(B618))</f>
        <v>M</v>
      </c>
      <c r="K619" s="4" cm="1">
        <f t="array" ref="K619">INDEX(products!$B$2:$E$49,MATCH($D619,products!$A$2:$A$49,0),COLUMN(C618))</f>
        <v>2.5</v>
      </c>
      <c r="L619" s="5" cm="1">
        <f t="array" ref="L619">INDEX(products!$B$2:$E$49,MATCH($D619,products!$A$2:$A$49,0),COLUMN(D618))</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INDEX(products!$A$1:$G$49,MATCH($D620,products!$A$1:$A$49,0),MATCH(I$1,products!$A$1:$G$1,0))</f>
        <v>Exc</v>
      </c>
      <c r="J620" t="str" cm="1">
        <f t="array" ref="J620">INDEX(products!$B$2:$E$49,MATCH($D620,products!$A$2:$A$49,0),COLUMN(B619))</f>
        <v>D</v>
      </c>
      <c r="K620" s="4" cm="1">
        <f t="array" ref="K620">INDEX(products!$B$2:$E$49,MATCH($D620,products!$A$2:$A$49,0),COLUMN(C619))</f>
        <v>1</v>
      </c>
      <c r="L620" s="5" cm="1">
        <f t="array" ref="L620">INDEX(products!$B$2:$E$49,MATCH($D620,products!$A$2:$A$49,0),COLUMN(D619))</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INDEX(products!$A$1:$G$49,MATCH($D621,products!$A$1:$A$49,0),MATCH(I$1,products!$A$1:$G$1,0))</f>
        <v>Lib</v>
      </c>
      <c r="J621" t="str" cm="1">
        <f t="array" ref="J621">INDEX(products!$B$2:$E$49,MATCH($D621,products!$A$2:$A$49,0),COLUMN(B620))</f>
        <v>D</v>
      </c>
      <c r="K621" s="4" cm="1">
        <f t="array" ref="K621">INDEX(products!$B$2:$E$49,MATCH($D621,products!$A$2:$A$49,0),COLUMN(C620))</f>
        <v>0.5</v>
      </c>
      <c r="L621" s="5" cm="1">
        <f t="array" ref="L621">INDEX(products!$B$2:$E$49,MATCH($D621,products!$A$2:$A$49,0),COLUMN(D620))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INDEX(products!$A$1:$G$49,MATCH($D622,products!$A$1:$A$49,0),MATCH(I$1,products!$A$1:$G$1,0))</f>
        <v>Ara</v>
      </c>
      <c r="J622" t="str" cm="1">
        <f t="array" ref="J622">INDEX(products!$B$2:$E$49,MATCH($D622,products!$A$2:$A$49,0),COLUMN(B621))</f>
        <v>M</v>
      </c>
      <c r="K622" s="4" cm="1">
        <f t="array" ref="K622">INDEX(products!$B$2:$E$49,MATCH($D622,products!$A$2:$A$49,0),COLUMN(C621))</f>
        <v>0.2</v>
      </c>
      <c r="L622" s="5" cm="1">
        <f t="array" ref="L622">INDEX(products!$B$2:$E$49,MATCH($D622,products!$A$2:$A$49,0),COLUMN(D621))</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INDEX(products!$A$1:$G$49,MATCH($D623,products!$A$1:$A$49,0),MATCH(I$1,products!$A$1:$G$1,0))</f>
        <v>Ara</v>
      </c>
      <c r="J623" t="str" cm="1">
        <f t="array" ref="J623">INDEX(products!$B$2:$E$49,MATCH($D623,products!$A$2:$A$49,0),COLUMN(B622))</f>
        <v>L</v>
      </c>
      <c r="K623" s="4" cm="1">
        <f t="array" ref="K623">INDEX(products!$B$2:$E$49,MATCH($D623,products!$A$2:$A$49,0),COLUMN(C622))</f>
        <v>1</v>
      </c>
      <c r="L623" s="5" cm="1">
        <f t="array" ref="L623">INDEX(products!$B$2:$E$49,MATCH($D623,products!$A$2:$A$49,0),COLUMN(D622))</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INDEX(products!$A$1:$G$49,MATCH($D624,products!$A$1:$A$49,0),MATCH(I$1,products!$A$1:$G$1,0))</f>
        <v>Lib</v>
      </c>
      <c r="J624" t="str" cm="1">
        <f t="array" ref="J624">INDEX(products!$B$2:$E$49,MATCH($D624,products!$A$2:$A$49,0),COLUMN(B623))</f>
        <v>M</v>
      </c>
      <c r="K624" s="4" cm="1">
        <f t="array" ref="K624">INDEX(products!$B$2:$E$49,MATCH($D624,products!$A$2:$A$49,0),COLUMN(C623))</f>
        <v>2.5</v>
      </c>
      <c r="L624" s="5" cm="1">
        <f t="array" ref="L624">INDEX(products!$B$2:$E$49,MATCH($D624,products!$A$2:$A$49,0),COLUMN(D623))</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f>
        <v>Nelie Garnson</v>
      </c>
      <c r="G625" s="2" t="str">
        <f>IF(_xlfn.XLOOKUP(C625,customers!$A$1:$A$1001,customers!$C$1:$C$1001,,0)=0,"",(_xlfn.XLOOKUP(C625,customers!$A$1:$A$1001,customers!$C$1:$C$1001,,0)))</f>
        <v/>
      </c>
      <c r="H625" s="2" t="str">
        <f>_xlfn.XLOOKUP(C625,customers!$A$1:$A$1001,customers!$G$1:$G$1001,,0)</f>
        <v>United Kingdom</v>
      </c>
      <c r="I625" t="str">
        <f>INDEX(products!$A$1:$G$49,MATCH($D625,products!$A$1:$A$49,0),MATCH(I$1,products!$A$1:$G$1,0))</f>
        <v>Exc</v>
      </c>
      <c r="J625" t="str" cm="1">
        <f t="array" ref="J625">INDEX(products!$B$2:$E$49,MATCH($D625,products!$A$2:$A$49,0),COLUMN(B624))</f>
        <v>D</v>
      </c>
      <c r="K625" s="4" cm="1">
        <f t="array" ref="K625">INDEX(products!$B$2:$E$49,MATCH($D625,products!$A$2:$A$49,0),COLUMN(C624))</f>
        <v>1</v>
      </c>
      <c r="L625" s="5" cm="1">
        <f t="array" ref="L625">INDEX(products!$B$2:$E$49,MATCH($D625,products!$A$2:$A$49,0),COLUMN(D624))</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f>
        <v>Dianne Chardin</v>
      </c>
      <c r="G626" s="2" t="str">
        <f>IF(_xlfn.XLOOKUP(C626,customers!$A$1:$A$1001,customers!$C$1:$C$1001,,0)=0,"",(_xlfn.XLOOKUP(C626,customers!$A$1:$A$1001,customers!$C$1:$C$1001,,0)))</f>
        <v>dchardinhc@nhs.uk</v>
      </c>
      <c r="H626" s="2" t="str">
        <f>_xlfn.XLOOKUP(C626,customers!$A$1:$A$1001,customers!$G$1:$G$1001,,0)</f>
        <v>Ireland</v>
      </c>
      <c r="I626" t="str">
        <f>INDEX(products!$A$1:$G$49,MATCH($D626,products!$A$1:$A$49,0),MATCH(I$1,products!$A$1:$G$1,0))</f>
        <v>Exc</v>
      </c>
      <c r="J626" t="str" cm="1">
        <f t="array" ref="J626">INDEX(products!$B$2:$E$49,MATCH($D626,products!$A$2:$A$49,0),COLUMN(B625))</f>
        <v>M</v>
      </c>
      <c r="K626" s="4" cm="1">
        <f t="array" ref="K626">INDEX(products!$B$2:$E$49,MATCH($D626,products!$A$2:$A$49,0),COLUMN(C625))</f>
        <v>2.5</v>
      </c>
      <c r="L626" s="5" cm="1">
        <f t="array" ref="L626">INDEX(products!$B$2:$E$49,MATCH($D626,products!$A$2:$A$49,0),COLUMN(D625))</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INDEX(products!$A$1:$G$49,MATCH($D627,products!$A$1:$A$49,0),MATCH(I$1,products!$A$1:$G$1,0))</f>
        <v>Rob</v>
      </c>
      <c r="J627" t="str" cm="1">
        <f t="array" ref="J627">INDEX(products!$B$2:$E$49,MATCH($D627,products!$A$2:$A$49,0),COLUMN(B626))</f>
        <v>L</v>
      </c>
      <c r="K627" s="4" cm="1">
        <f t="array" ref="K627">INDEX(products!$B$2:$E$49,MATCH($D627,products!$A$2:$A$49,0),COLUMN(C626))</f>
        <v>0.5</v>
      </c>
      <c r="L627" s="5" cm="1">
        <f t="array" ref="L627">INDEX(products!$B$2:$E$49,MATCH($D627,products!$A$2:$A$49,0),COLUMN(D626))</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INDEX(products!$A$1:$G$49,MATCH($D628,products!$A$1:$A$49,0),MATCH(I$1,products!$A$1:$G$1,0))</f>
        <v>Ara</v>
      </c>
      <c r="J628" t="str" cm="1">
        <f t="array" ref="J628">INDEX(products!$B$2:$E$49,MATCH($D628,products!$A$2:$A$49,0),COLUMN(B627))</f>
        <v>M</v>
      </c>
      <c r="K628" s="4" cm="1">
        <f t="array" ref="K628">INDEX(products!$B$2:$E$49,MATCH($D628,products!$A$2:$A$49,0),COLUMN(C627))</f>
        <v>2.5</v>
      </c>
      <c r="L628" s="5" cm="1">
        <f t="array" ref="L628">INDEX(products!$B$2:$E$49,MATCH($D628,products!$A$2:$A$49,0),COLUMN(D627))</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INDEX(products!$A$1:$G$49,MATCH($D629,products!$A$1:$A$49,0),MATCH(I$1,products!$A$1:$G$1,0))</f>
        <v>Exc</v>
      </c>
      <c r="J629" t="str" cm="1">
        <f t="array" ref="J629">INDEX(products!$B$2:$E$49,MATCH($D629,products!$A$2:$A$49,0),COLUMN(B628))</f>
        <v>M</v>
      </c>
      <c r="K629" s="4" cm="1">
        <f t="array" ref="K629">INDEX(products!$B$2:$E$49,MATCH($D629,products!$A$2:$A$49,0),COLUMN(C628))</f>
        <v>2.5</v>
      </c>
      <c r="L629" s="5" cm="1">
        <f t="array" ref="L629">INDEX(products!$B$2:$E$49,MATCH($D629,products!$A$2:$A$49,0),COLUMN(D628))</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INDEX(products!$A$1:$G$49,MATCH($D630,products!$A$1:$A$49,0),MATCH(I$1,products!$A$1:$G$1,0))</f>
        <v>Exc</v>
      </c>
      <c r="J630" t="str" cm="1">
        <f t="array" ref="J630">INDEX(products!$B$2:$E$49,MATCH($D630,products!$A$2:$A$49,0),COLUMN(B629))</f>
        <v>L</v>
      </c>
      <c r="K630" s="4" cm="1">
        <f t="array" ref="K630">INDEX(products!$B$2:$E$49,MATCH($D630,products!$A$2:$A$49,0),COLUMN(C629))</f>
        <v>0.2</v>
      </c>
      <c r="L630" s="5" cm="1">
        <f t="array" ref="L630">INDEX(products!$B$2:$E$49,MATCH($D630,products!$A$2:$A$49,0),COLUMN(D629))</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INDEX(products!$A$1:$G$49,MATCH($D631,products!$A$1:$A$49,0),MATCH(I$1,products!$A$1:$G$1,0))</f>
        <v>Lib</v>
      </c>
      <c r="J631" t="str" cm="1">
        <f t="array" ref="J631">INDEX(products!$B$2:$E$49,MATCH($D631,products!$A$2:$A$49,0),COLUMN(B630))</f>
        <v>D</v>
      </c>
      <c r="K631" s="4" cm="1">
        <f t="array" ref="K631">INDEX(products!$B$2:$E$49,MATCH($D631,products!$A$2:$A$49,0),COLUMN(C630))</f>
        <v>0.5</v>
      </c>
      <c r="L631" s="5" cm="1">
        <f t="array" ref="L631">INDEX(products!$B$2:$E$49,MATCH($D631,products!$A$2:$A$49,0),COLUMN(D630))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INDEX(products!$A$1:$G$49,MATCH($D632,products!$A$1:$A$49,0),MATCH(I$1,products!$A$1:$G$1,0))</f>
        <v>Ara</v>
      </c>
      <c r="J632" t="str" cm="1">
        <f t="array" ref="J632">INDEX(products!$B$2:$E$49,MATCH($D632,products!$A$2:$A$49,0),COLUMN(B631))</f>
        <v>D</v>
      </c>
      <c r="K632" s="4" cm="1">
        <f t="array" ref="K632">INDEX(products!$B$2:$E$49,MATCH($D632,products!$A$2:$A$49,0),COLUMN(C631))</f>
        <v>0.2</v>
      </c>
      <c r="L632" s="5" cm="1">
        <f t="array" ref="L632">INDEX(products!$B$2:$E$49,MATCH($D632,products!$A$2:$A$49,0),COLUMN(D631))</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INDEX(products!$A$1:$G$49,MATCH($D633,products!$A$1:$A$49,0),MATCH(I$1,products!$A$1:$G$1,0))</f>
        <v>Rob</v>
      </c>
      <c r="J633" t="str" cm="1">
        <f t="array" ref="J633">INDEX(products!$B$2:$E$49,MATCH($D633,products!$A$2:$A$49,0),COLUMN(B632))</f>
        <v>D</v>
      </c>
      <c r="K633" s="4" cm="1">
        <f t="array" ref="K633">INDEX(products!$B$2:$E$49,MATCH($D633,products!$A$2:$A$49,0),COLUMN(C632))</f>
        <v>2.5</v>
      </c>
      <c r="L633" s="5" cm="1">
        <f t="array" ref="L633">INDEX(products!$B$2:$E$49,MATCH($D633,products!$A$2:$A$49,0),COLUMN(D632))</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INDEX(products!$A$1:$G$49,MATCH($D634,products!$A$1:$A$49,0),MATCH(I$1,products!$A$1:$G$1,0))</f>
        <v>Exc</v>
      </c>
      <c r="J634" t="str" cm="1">
        <f t="array" ref="J634">INDEX(products!$B$2:$E$49,MATCH($D634,products!$A$2:$A$49,0),COLUMN(B633))</f>
        <v>L</v>
      </c>
      <c r="K634" s="4" cm="1">
        <f t="array" ref="K634">INDEX(products!$B$2:$E$49,MATCH($D634,products!$A$2:$A$49,0),COLUMN(C633))</f>
        <v>0.5</v>
      </c>
      <c r="L634" s="5" cm="1">
        <f t="array" ref="L634">INDEX(products!$B$2:$E$49,MATCH($D634,products!$A$2:$A$49,0),COLUMN(D633))</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INDEX(products!$A$1:$G$49,MATCH($D635,products!$A$1:$A$49,0),MATCH(I$1,products!$A$1:$G$1,0))</f>
        <v>Rob</v>
      </c>
      <c r="J635" t="str" cm="1">
        <f t="array" ref="J635">INDEX(products!$B$2:$E$49,MATCH($D635,products!$A$2:$A$49,0),COLUMN(B634))</f>
        <v>L</v>
      </c>
      <c r="K635" s="4" cm="1">
        <f t="array" ref="K635">INDEX(products!$B$2:$E$49,MATCH($D635,products!$A$2:$A$49,0),COLUMN(C634))</f>
        <v>1</v>
      </c>
      <c r="L635" s="5" cm="1">
        <f t="array" ref="L635">INDEX(products!$B$2:$E$49,MATCH($D635,products!$A$2:$A$49,0),COLUMN(D634))</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INDEX(products!$A$1:$G$49,MATCH($D636,products!$A$1:$A$49,0),MATCH(I$1,products!$A$1:$G$1,0))</f>
        <v>Lib</v>
      </c>
      <c r="J636" t="str" cm="1">
        <f t="array" ref="J636">INDEX(products!$B$2:$E$49,MATCH($D636,products!$A$2:$A$49,0),COLUMN(B635))</f>
        <v>M</v>
      </c>
      <c r="K636" s="4" cm="1">
        <f t="array" ref="K636">INDEX(products!$B$2:$E$49,MATCH($D636,products!$A$2:$A$49,0),COLUMN(C635))</f>
        <v>1</v>
      </c>
      <c r="L636" s="5" cm="1">
        <f t="array" ref="L636">INDEX(products!$B$2:$E$49,MATCH($D636,products!$A$2:$A$49,0),COLUMN(D635))</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INDEX(products!$A$1:$G$49,MATCH($D637,products!$A$1:$A$49,0),MATCH(I$1,products!$A$1:$G$1,0))</f>
        <v>Exc</v>
      </c>
      <c r="J637" t="str" cm="1">
        <f t="array" ref="J637">INDEX(products!$B$2:$E$49,MATCH($D637,products!$A$2:$A$49,0),COLUMN(B636))</f>
        <v>L</v>
      </c>
      <c r="K637" s="4" cm="1">
        <f t="array" ref="K637">INDEX(products!$B$2:$E$49,MATCH($D637,products!$A$2:$A$49,0),COLUMN(C636))</f>
        <v>0.5</v>
      </c>
      <c r="L637" s="5" cm="1">
        <f t="array" ref="L637">INDEX(products!$B$2:$E$49,MATCH($D637,products!$A$2:$A$49,0),COLUMN(D636))</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INDEX(products!$A$1:$G$49,MATCH($D638,products!$A$1:$A$49,0),MATCH(I$1,products!$A$1:$G$1,0))</f>
        <v>Lib</v>
      </c>
      <c r="J638" t="str" cm="1">
        <f t="array" ref="J638">INDEX(products!$B$2:$E$49,MATCH($D638,products!$A$2:$A$49,0),COLUMN(B637))</f>
        <v>L</v>
      </c>
      <c r="K638" s="4" cm="1">
        <f t="array" ref="K638">INDEX(products!$B$2:$E$49,MATCH($D638,products!$A$2:$A$49,0),COLUMN(C637))</f>
        <v>1</v>
      </c>
      <c r="L638" s="5" cm="1">
        <f t="array" ref="L638">INDEX(products!$B$2:$E$49,MATCH($D638,products!$A$2:$A$49,0),COLUMN(D637))</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INDEX(products!$A$1:$G$49,MATCH($D639,products!$A$1:$A$49,0),MATCH(I$1,products!$A$1:$G$1,0))</f>
        <v>Exc</v>
      </c>
      <c r="J639" t="str" cm="1">
        <f t="array" ref="J639">INDEX(products!$B$2:$E$49,MATCH($D639,products!$A$2:$A$49,0),COLUMN(B638))</f>
        <v>M</v>
      </c>
      <c r="K639" s="4" cm="1">
        <f t="array" ref="K639">INDEX(products!$B$2:$E$49,MATCH($D639,products!$A$2:$A$49,0),COLUMN(C638))</f>
        <v>2.5</v>
      </c>
      <c r="L639" s="5" cm="1">
        <f t="array" ref="L639">INDEX(products!$B$2:$E$49,MATCH($D639,products!$A$2:$A$49,0),COLUMN(D638))</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f>
        <v>Neville Piatto</v>
      </c>
      <c r="G640" s="2" t="str">
        <f>IF(_xlfn.XLOOKUP(C640,customers!$A$1:$A$1001,customers!$C$1:$C$1001,,0)=0,"",(_xlfn.XLOOKUP(C640,customers!$A$1:$A$1001,customers!$C$1:$C$1001,,0)))</f>
        <v/>
      </c>
      <c r="H640" s="2" t="str">
        <f>_xlfn.XLOOKUP(C640,customers!$A$1:$A$1001,customers!$G$1:$G$1001,,0)</f>
        <v>Ireland</v>
      </c>
      <c r="I640" t="str">
        <f>INDEX(products!$A$1:$G$49,MATCH($D640,products!$A$1:$A$49,0),MATCH(I$1,products!$A$1:$G$1,0))</f>
        <v>Ara</v>
      </c>
      <c r="J640" t="str" cm="1">
        <f t="array" ref="J640">INDEX(products!$B$2:$E$49,MATCH($D640,products!$A$2:$A$49,0),COLUMN(B639))</f>
        <v>M</v>
      </c>
      <c r="K640" s="4" cm="1">
        <f t="array" ref="K640">INDEX(products!$B$2:$E$49,MATCH($D640,products!$A$2:$A$49,0),COLUMN(C639))</f>
        <v>2.5</v>
      </c>
      <c r="L640" s="5" cm="1">
        <f t="array" ref="L640">INDEX(products!$B$2:$E$49,MATCH($D640,products!$A$2:$A$49,0),COLUMN(D639))</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INDEX(products!$A$1:$G$49,MATCH($D641,products!$A$1:$A$49,0),MATCH(I$1,products!$A$1:$G$1,0))</f>
        <v>Lib</v>
      </c>
      <c r="J641" t="str" cm="1">
        <f t="array" ref="J641">INDEX(products!$B$2:$E$49,MATCH($D641,products!$A$2:$A$49,0),COLUMN(B640))</f>
        <v>D</v>
      </c>
      <c r="K641" s="4" cm="1">
        <f t="array" ref="K641">INDEX(products!$B$2:$E$49,MATCH($D641,products!$A$2:$A$49,0),COLUMN(C640))</f>
        <v>0.2</v>
      </c>
      <c r="L641" s="5" cm="1">
        <f t="array" ref="L641">INDEX(products!$B$2:$E$49,MATCH($D641,products!$A$2:$A$49,0),COLUMN(D640))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INDEX(products!$A$1:$G$49,MATCH($D642,products!$A$1:$A$49,0),MATCH(I$1,products!$A$1:$G$1,0))</f>
        <v>Rob</v>
      </c>
      <c r="J642" t="str" cm="1">
        <f t="array" ref="J642">INDEX(products!$B$2:$E$49,MATCH($D642,products!$A$2:$A$49,0),COLUMN(B641))</f>
        <v>L</v>
      </c>
      <c r="K642" s="4" cm="1">
        <f t="array" ref="K642">INDEX(products!$B$2:$E$49,MATCH($D642,products!$A$2:$A$49,0),COLUMN(C641))</f>
        <v>2.5</v>
      </c>
      <c r="L642" s="5" cm="1">
        <f t="array" ref="L642">INDEX(products!$B$2:$E$49,MATCH($D642,products!$A$2:$A$49,0),COLUMN(D641))</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INDEX(products!$A$1:$G$49,MATCH($D643,products!$A$1:$A$49,0),MATCH(I$1,products!$A$1:$G$1,0))</f>
        <v>Rob</v>
      </c>
      <c r="J643" t="str" cm="1">
        <f t="array" ref="J643">INDEX(products!$B$2:$E$49,MATCH($D643,products!$A$2:$A$49,0),COLUMN(B642))</f>
        <v>L</v>
      </c>
      <c r="K643" s="4" cm="1">
        <f t="array" ref="K643">INDEX(products!$B$2:$E$49,MATCH($D643,products!$A$2:$A$49,0),COLUMN(C642))</f>
        <v>1</v>
      </c>
      <c r="L643" s="5" cm="1">
        <f t="array" ref="L643">INDEX(products!$B$2:$E$49,MATCH($D643,products!$A$2:$A$49,0),COLUMN(D642))</f>
        <v>11.95</v>
      </c>
      <c r="M643" s="5">
        <f t="shared" ref="M643:M706" si="30">E643*L643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INDEX(products!$A$1:$G$49,MATCH($D644,products!$A$1:$A$49,0),MATCH(I$1,products!$A$1:$G$1,0))</f>
        <v>Exc</v>
      </c>
      <c r="J644" t="str" cm="1">
        <f t="array" ref="J644">INDEX(products!$B$2:$E$49,MATCH($D644,products!$A$2:$A$49,0),COLUMN(B643))</f>
        <v>M</v>
      </c>
      <c r="K644" s="4" cm="1">
        <f t="array" ref="K644">INDEX(products!$B$2:$E$49,MATCH($D644,products!$A$2:$A$49,0),COLUMN(C643))</f>
        <v>0.2</v>
      </c>
      <c r="L644" s="5" cm="1">
        <f t="array" ref="L644">INDEX(products!$B$2:$E$49,MATCH($D644,products!$A$2:$A$49,0),COLUMN(D643))</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INDEX(products!$A$1:$G$49,MATCH($D645,products!$A$1:$A$49,0),MATCH(I$1,products!$A$1:$G$1,0))</f>
        <v>Exc</v>
      </c>
      <c r="J645" t="str" cm="1">
        <f t="array" ref="J645">INDEX(products!$B$2:$E$49,MATCH($D645,products!$A$2:$A$49,0),COLUMN(B644))</f>
        <v>L</v>
      </c>
      <c r="K645" s="4" cm="1">
        <f t="array" ref="K645">INDEX(products!$B$2:$E$49,MATCH($D645,products!$A$2:$A$49,0),COLUMN(C644))</f>
        <v>2.5</v>
      </c>
      <c r="L645" s="5" cm="1">
        <f t="array" ref="L645">INDEX(products!$B$2:$E$49,MATCH($D645,products!$A$2:$A$49,0),COLUMN(D644))</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f>
        <v>Marne Mingey</v>
      </c>
      <c r="G646" s="2" t="str">
        <f>IF(_xlfn.XLOOKUP(C646,customers!$A$1:$A$1001,customers!$C$1:$C$1001,,0)=0,"",(_xlfn.XLOOKUP(C646,customers!$A$1:$A$1001,customers!$C$1:$C$1001,,0)))</f>
        <v/>
      </c>
      <c r="H646" s="2" t="str">
        <f>_xlfn.XLOOKUP(C646,customers!$A$1:$A$1001,customers!$G$1:$G$1001,,0)</f>
        <v>United States</v>
      </c>
      <c r="I646" t="str">
        <f>INDEX(products!$A$1:$G$49,MATCH($D646,products!$A$1:$A$49,0),MATCH(I$1,products!$A$1:$G$1,0))</f>
        <v>Rob</v>
      </c>
      <c r="J646" t="str" cm="1">
        <f t="array" ref="J646">INDEX(products!$B$2:$E$49,MATCH($D646,products!$A$2:$A$49,0),COLUMN(B645))</f>
        <v>D</v>
      </c>
      <c r="K646" s="4" cm="1">
        <f t="array" ref="K646">INDEX(products!$B$2:$E$49,MATCH($D646,products!$A$2:$A$49,0),COLUMN(C645))</f>
        <v>2.5</v>
      </c>
      <c r="L646" s="5" cm="1">
        <f t="array" ref="L646">INDEX(products!$B$2:$E$49,MATCH($D646,products!$A$2:$A$49,0),COLUMN(D645))</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INDEX(products!$A$1:$G$49,MATCH($D647,products!$A$1:$A$49,0),MATCH(I$1,products!$A$1:$G$1,0))</f>
        <v>Ara</v>
      </c>
      <c r="J647" t="str" cm="1">
        <f t="array" ref="J647">INDEX(products!$B$2:$E$49,MATCH($D647,products!$A$2:$A$49,0),COLUMN(B646))</f>
        <v>D</v>
      </c>
      <c r="K647" s="4" cm="1">
        <f t="array" ref="K647">INDEX(products!$B$2:$E$49,MATCH($D647,products!$A$2:$A$49,0),COLUMN(C646))</f>
        <v>2.5</v>
      </c>
      <c r="L647" s="5" cm="1">
        <f t="array" ref="L647">INDEX(products!$B$2:$E$49,MATCH($D647,products!$A$2:$A$49,0),COLUMN(D646))</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INDEX(products!$A$1:$G$49,MATCH($D648,products!$A$1:$A$49,0),MATCH(I$1,products!$A$1:$G$1,0))</f>
        <v>Ara</v>
      </c>
      <c r="J648" t="str" cm="1">
        <f t="array" ref="J648">INDEX(products!$B$2:$E$49,MATCH($D648,products!$A$2:$A$49,0),COLUMN(B647))</f>
        <v>D</v>
      </c>
      <c r="K648" s="4" cm="1">
        <f t="array" ref="K648">INDEX(products!$B$2:$E$49,MATCH($D648,products!$A$2:$A$49,0),COLUMN(C647))</f>
        <v>1</v>
      </c>
      <c r="L648" s="5" cm="1">
        <f t="array" ref="L648">INDEX(products!$B$2:$E$49,MATCH($D648,products!$A$2:$A$49,0),COLUMN(D647))</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INDEX(products!$A$1:$G$49,MATCH($D649,products!$A$1:$A$49,0),MATCH(I$1,products!$A$1:$G$1,0))</f>
        <v>Lib</v>
      </c>
      <c r="J649" t="str" cm="1">
        <f t="array" ref="J649">INDEX(products!$B$2:$E$49,MATCH($D649,products!$A$2:$A$49,0),COLUMN(B648))</f>
        <v>L</v>
      </c>
      <c r="K649" s="4" cm="1">
        <f t="array" ref="K649">INDEX(products!$B$2:$E$49,MATCH($D649,products!$A$2:$A$49,0),COLUMN(C648))</f>
        <v>0.5</v>
      </c>
      <c r="L649" s="5" cm="1">
        <f t="array" ref="L649">INDEX(products!$B$2:$E$49,MATCH($D649,products!$A$2:$A$49,0),COLUMN(D648))</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INDEX(products!$A$1:$G$49,MATCH($D650,products!$A$1:$A$49,0),MATCH(I$1,products!$A$1:$G$1,0))</f>
        <v>Rob</v>
      </c>
      <c r="J650" t="str" cm="1">
        <f t="array" ref="J650">INDEX(products!$B$2:$E$49,MATCH($D650,products!$A$2:$A$49,0),COLUMN(B649))</f>
        <v>D</v>
      </c>
      <c r="K650" s="4" cm="1">
        <f t="array" ref="K650">INDEX(products!$B$2:$E$49,MATCH($D650,products!$A$2:$A$49,0),COLUMN(C649))</f>
        <v>0.2</v>
      </c>
      <c r="L650" s="5" cm="1">
        <f t="array" ref="L650">INDEX(products!$B$2:$E$49,MATCH($D650,products!$A$2:$A$49,0),COLUMN(D649))</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INDEX(products!$A$1:$G$49,MATCH($D651,products!$A$1:$A$49,0),MATCH(I$1,products!$A$1:$G$1,0))</f>
        <v>Lib</v>
      </c>
      <c r="J651" t="str" cm="1">
        <f t="array" ref="J651">INDEX(products!$B$2:$E$49,MATCH($D651,products!$A$2:$A$49,0),COLUMN(B650))</f>
        <v>L</v>
      </c>
      <c r="K651" s="4" cm="1">
        <f t="array" ref="K651">INDEX(products!$B$2:$E$49,MATCH($D651,products!$A$2:$A$49,0),COLUMN(C650))</f>
        <v>1</v>
      </c>
      <c r="L651" s="5" cm="1">
        <f t="array" ref="L651">INDEX(products!$B$2:$E$49,MATCH($D651,products!$A$2:$A$49,0),COLUMN(D650))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INDEX(products!$A$1:$G$49,MATCH($D652,products!$A$1:$A$49,0),MATCH(I$1,products!$A$1:$G$1,0))</f>
        <v>Rob</v>
      </c>
      <c r="J652" t="str" cm="1">
        <f t="array" ref="J652">INDEX(products!$B$2:$E$49,MATCH($D652,products!$A$2:$A$49,0),COLUMN(B651))</f>
        <v>D</v>
      </c>
      <c r="K652" s="4" cm="1">
        <f t="array" ref="K652">INDEX(products!$B$2:$E$49,MATCH($D652,products!$A$2:$A$49,0),COLUMN(C651))</f>
        <v>0.5</v>
      </c>
      <c r="L652" s="5" cm="1">
        <f t="array" ref="L652">INDEX(products!$B$2:$E$49,MATCH($D652,products!$A$2:$A$49,0),COLUMN(D651))</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f>
        <v>Giana Tonnesen</v>
      </c>
      <c r="G653" s="2" t="str">
        <f>IF(_xlfn.XLOOKUP(C653,customers!$A$1:$A$1001,customers!$C$1:$C$1001,,0)=0,"",(_xlfn.XLOOKUP(C653,customers!$A$1:$A$1001,customers!$C$1:$C$1001,,0)))</f>
        <v/>
      </c>
      <c r="H653" s="2" t="str">
        <f>_xlfn.XLOOKUP(C653,customers!$A$1:$A$1001,customers!$G$1:$G$1001,,0)</f>
        <v>United States</v>
      </c>
      <c r="I653" t="str">
        <f>INDEX(products!$A$1:$G$49,MATCH($D653,products!$A$1:$A$49,0),MATCH(I$1,products!$A$1:$G$1,0))</f>
        <v>Rob</v>
      </c>
      <c r="J653" t="str" cm="1">
        <f t="array" ref="J653">INDEX(products!$B$2:$E$49,MATCH($D653,products!$A$2:$A$49,0),COLUMN(B652))</f>
        <v>L</v>
      </c>
      <c r="K653" s="4" cm="1">
        <f t="array" ref="K653">INDEX(products!$B$2:$E$49,MATCH($D653,products!$A$2:$A$49,0),COLUMN(C652))</f>
        <v>1</v>
      </c>
      <c r="L653" s="5" cm="1">
        <f t="array" ref="L653">INDEX(products!$B$2:$E$49,MATCH($D653,products!$A$2:$A$49,0),COLUMN(D652))</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INDEX(products!$A$1:$G$49,MATCH($D654,products!$A$1:$A$49,0),MATCH(I$1,products!$A$1:$G$1,0))</f>
        <v>Lib</v>
      </c>
      <c r="J654" t="str" cm="1">
        <f t="array" ref="J654">INDEX(products!$B$2:$E$49,MATCH($D654,products!$A$2:$A$49,0),COLUMN(B653))</f>
        <v>L</v>
      </c>
      <c r="K654" s="4" cm="1">
        <f t="array" ref="K654">INDEX(products!$B$2:$E$49,MATCH($D654,products!$A$2:$A$49,0),COLUMN(C653))</f>
        <v>1</v>
      </c>
      <c r="L654" s="5" cm="1">
        <f t="array" ref="L654">INDEX(products!$B$2:$E$49,MATCH($D654,products!$A$2:$A$49,0),COLUMN(D653))</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INDEX(products!$A$1:$G$49,MATCH($D655,products!$A$1:$A$49,0),MATCH(I$1,products!$A$1:$G$1,0))</f>
        <v>Ara</v>
      </c>
      <c r="J655" t="str" cm="1">
        <f t="array" ref="J655">INDEX(products!$B$2:$E$49,MATCH($D655,products!$A$2:$A$49,0),COLUMN(B654))</f>
        <v>M</v>
      </c>
      <c r="K655" s="4" cm="1">
        <f t="array" ref="K655">INDEX(products!$B$2:$E$49,MATCH($D655,products!$A$2:$A$49,0),COLUMN(C654))</f>
        <v>2.5</v>
      </c>
      <c r="L655" s="5" cm="1">
        <f t="array" ref="L655">INDEX(products!$B$2:$E$49,MATCH($D655,products!$A$2:$A$49,0),COLUMN(D654))</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INDEX(products!$A$1:$G$49,MATCH($D656,products!$A$1:$A$49,0),MATCH(I$1,products!$A$1:$G$1,0))</f>
        <v>Ara</v>
      </c>
      <c r="J656" t="str" cm="1">
        <f t="array" ref="J656">INDEX(products!$B$2:$E$49,MATCH($D656,products!$A$2:$A$49,0),COLUMN(B655))</f>
        <v>D</v>
      </c>
      <c r="K656" s="4" cm="1">
        <f t="array" ref="K656">INDEX(products!$B$2:$E$49,MATCH($D656,products!$A$2:$A$49,0),COLUMN(C655))</f>
        <v>2.5</v>
      </c>
      <c r="L656" s="5" cm="1">
        <f t="array" ref="L656">INDEX(products!$B$2:$E$49,MATCH($D656,products!$A$2:$A$49,0),COLUMN(D655))</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INDEX(products!$A$1:$G$49,MATCH($D657,products!$A$1:$A$49,0),MATCH(I$1,products!$A$1:$G$1,0))</f>
        <v>Rob</v>
      </c>
      <c r="J657" t="str" cm="1">
        <f t="array" ref="J657">INDEX(products!$B$2:$E$49,MATCH($D657,products!$A$2:$A$49,0),COLUMN(B656))</f>
        <v>M</v>
      </c>
      <c r="K657" s="4" cm="1">
        <f t="array" ref="K657">INDEX(products!$B$2:$E$49,MATCH($D657,products!$A$2:$A$49,0),COLUMN(C656))</f>
        <v>2.5</v>
      </c>
      <c r="L657" s="5" cm="1">
        <f t="array" ref="L657">INDEX(products!$B$2:$E$49,MATCH($D657,products!$A$2:$A$49,0),COLUMN(D656))</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INDEX(products!$A$1:$G$49,MATCH($D658,products!$A$1:$A$49,0),MATCH(I$1,products!$A$1:$G$1,0))</f>
        <v>Lib</v>
      </c>
      <c r="J658" t="str" cm="1">
        <f t="array" ref="J658">INDEX(products!$B$2:$E$49,MATCH($D658,products!$A$2:$A$49,0),COLUMN(B657))</f>
        <v>D</v>
      </c>
      <c r="K658" s="4" cm="1">
        <f t="array" ref="K658">INDEX(products!$B$2:$E$49,MATCH($D658,products!$A$2:$A$49,0),COLUMN(C657))</f>
        <v>1</v>
      </c>
      <c r="L658" s="5" cm="1">
        <f t="array" ref="L658">INDEX(products!$B$2:$E$49,MATCH($D658,products!$A$2:$A$49,0),COLUMN(D657))</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f>
        <v>Wren Place</v>
      </c>
      <c r="G659" s="2" t="str">
        <f>IF(_xlfn.XLOOKUP(C659,customers!$A$1:$A$1001,customers!$C$1:$C$1001,,0)=0,"",(_xlfn.XLOOKUP(C659,customers!$A$1:$A$1001,customers!$C$1:$C$1001,,0)))</f>
        <v>wplacei9@wsj.com</v>
      </c>
      <c r="H659" s="2" t="str">
        <f>_xlfn.XLOOKUP(C659,customers!$A$1:$A$1001,customers!$G$1:$G$1001,,0)</f>
        <v>United States</v>
      </c>
      <c r="I659" t="str">
        <f>INDEX(products!$A$1:$G$49,MATCH($D659,products!$A$1:$A$49,0),MATCH(I$1,products!$A$1:$G$1,0))</f>
        <v>Ara</v>
      </c>
      <c r="J659" t="str" cm="1">
        <f t="array" ref="J659">INDEX(products!$B$2:$E$49,MATCH($D659,products!$A$2:$A$49,0),COLUMN(B658))</f>
        <v>M</v>
      </c>
      <c r="K659" s="4" cm="1">
        <f t="array" ref="K659">INDEX(products!$B$2:$E$49,MATCH($D659,products!$A$2:$A$49,0),COLUMN(C658))</f>
        <v>0.5</v>
      </c>
      <c r="L659" s="5" cm="1">
        <f t="array" ref="L659">INDEX(products!$B$2:$E$49,MATCH($D659,products!$A$2:$A$49,0),COLUMN(D658))</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INDEX(products!$A$1:$G$49,MATCH($D660,products!$A$1:$A$49,0),MATCH(I$1,products!$A$1:$G$1,0))</f>
        <v>Exc</v>
      </c>
      <c r="J660" t="str" cm="1">
        <f t="array" ref="J660">INDEX(products!$B$2:$E$49,MATCH($D660,products!$A$2:$A$49,0),COLUMN(B659))</f>
        <v>M</v>
      </c>
      <c r="K660" s="4" cm="1">
        <f t="array" ref="K660">INDEX(products!$B$2:$E$49,MATCH($D660,products!$A$2:$A$49,0),COLUMN(C659))</f>
        <v>0.5</v>
      </c>
      <c r="L660" s="5" cm="1">
        <f t="array" ref="L660">INDEX(products!$B$2:$E$49,MATCH($D660,products!$A$2:$A$49,0),COLUMN(D659))</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INDEX(products!$A$1:$G$49,MATCH($D661,products!$A$1:$A$49,0),MATCH(I$1,products!$A$1:$G$1,0))</f>
        <v>Ara</v>
      </c>
      <c r="J661" t="str" cm="1">
        <f t="array" ref="J661">INDEX(products!$B$2:$E$49,MATCH($D661,products!$A$2:$A$49,0),COLUMN(B660))</f>
        <v>D</v>
      </c>
      <c r="K661" s="4" cm="1">
        <f t="array" ref="K661">INDEX(products!$B$2:$E$49,MATCH($D661,products!$A$2:$A$49,0),COLUMN(C660))</f>
        <v>2.5</v>
      </c>
      <c r="L661" s="5" cm="1">
        <f t="array" ref="L661">INDEX(products!$B$2:$E$49,MATCH($D661,products!$A$2:$A$49,0),COLUMN(D660))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INDEX(products!$A$1:$G$49,MATCH($D662,products!$A$1:$A$49,0),MATCH(I$1,products!$A$1:$G$1,0))</f>
        <v>Exc</v>
      </c>
      <c r="J662" t="str" cm="1">
        <f t="array" ref="J662">INDEX(products!$B$2:$E$49,MATCH($D662,products!$A$2:$A$49,0),COLUMN(B661))</f>
        <v>L</v>
      </c>
      <c r="K662" s="4" cm="1">
        <f t="array" ref="K662">INDEX(products!$B$2:$E$49,MATCH($D662,products!$A$2:$A$49,0),COLUMN(C661))</f>
        <v>0.5</v>
      </c>
      <c r="L662" s="5" cm="1">
        <f t="array" ref="L662">INDEX(products!$B$2:$E$49,MATCH($D662,products!$A$2:$A$49,0),COLUMN(D661))</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INDEX(products!$A$1:$G$49,MATCH($D663,products!$A$1:$A$49,0),MATCH(I$1,products!$A$1:$G$1,0))</f>
        <v>Ara</v>
      </c>
      <c r="J663" t="str" cm="1">
        <f t="array" ref="J663">INDEX(products!$B$2:$E$49,MATCH($D663,products!$A$2:$A$49,0),COLUMN(B662))</f>
        <v>M</v>
      </c>
      <c r="K663" s="4" cm="1">
        <f t="array" ref="K663">INDEX(products!$B$2:$E$49,MATCH($D663,products!$A$2:$A$49,0),COLUMN(C662))</f>
        <v>0.2</v>
      </c>
      <c r="L663" s="5" cm="1">
        <f t="array" ref="L663">INDEX(products!$B$2:$E$49,MATCH($D663,products!$A$2:$A$49,0),COLUMN(D662))</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INDEX(products!$A$1:$G$49,MATCH($D664,products!$A$1:$A$49,0),MATCH(I$1,products!$A$1:$G$1,0))</f>
        <v>Lib</v>
      </c>
      <c r="J664" t="str" cm="1">
        <f t="array" ref="J664">INDEX(products!$B$2:$E$49,MATCH($D664,products!$A$2:$A$49,0),COLUMN(B663))</f>
        <v>D</v>
      </c>
      <c r="K664" s="4" cm="1">
        <f t="array" ref="K664">INDEX(products!$B$2:$E$49,MATCH($D664,products!$A$2:$A$49,0),COLUMN(C663))</f>
        <v>2.5</v>
      </c>
      <c r="L664" s="5" cm="1">
        <f t="array" ref="L664">INDEX(products!$B$2:$E$49,MATCH($D664,products!$A$2:$A$49,0),COLUMN(D663))</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INDEX(products!$A$1:$G$49,MATCH($D665,products!$A$1:$A$49,0),MATCH(I$1,products!$A$1:$G$1,0))</f>
        <v>Ara</v>
      </c>
      <c r="J665" t="str" cm="1">
        <f t="array" ref="J665">INDEX(products!$B$2:$E$49,MATCH($D665,products!$A$2:$A$49,0),COLUMN(B664))</f>
        <v>M</v>
      </c>
      <c r="K665" s="4" cm="1">
        <f t="array" ref="K665">INDEX(products!$B$2:$E$49,MATCH($D665,products!$A$2:$A$49,0),COLUMN(C664))</f>
        <v>1</v>
      </c>
      <c r="L665" s="5" cm="1">
        <f t="array" ref="L665">INDEX(products!$B$2:$E$49,MATCH($D665,products!$A$2:$A$49,0),COLUMN(D664))</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INDEX(products!$A$1:$G$49,MATCH($D666,products!$A$1:$A$49,0),MATCH(I$1,products!$A$1:$G$1,0))</f>
        <v>Exc</v>
      </c>
      <c r="J666" t="str" cm="1">
        <f t="array" ref="J666">INDEX(products!$B$2:$E$49,MATCH($D666,products!$A$2:$A$49,0),COLUMN(B665))</f>
        <v>D</v>
      </c>
      <c r="K666" s="4" cm="1">
        <f t="array" ref="K666">INDEX(products!$B$2:$E$49,MATCH($D666,products!$A$2:$A$49,0),COLUMN(C665))</f>
        <v>1</v>
      </c>
      <c r="L666" s="5" cm="1">
        <f t="array" ref="L666">INDEX(products!$B$2:$E$49,MATCH($D666,products!$A$2:$A$49,0),COLUMN(D665))</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INDEX(products!$A$1:$G$49,MATCH($D667,products!$A$1:$A$49,0),MATCH(I$1,products!$A$1:$G$1,0))</f>
        <v>Lib</v>
      </c>
      <c r="J667" t="str" cm="1">
        <f t="array" ref="J667">INDEX(products!$B$2:$E$49,MATCH($D667,products!$A$2:$A$49,0),COLUMN(B666))</f>
        <v>D</v>
      </c>
      <c r="K667" s="4" cm="1">
        <f t="array" ref="K667">INDEX(products!$B$2:$E$49,MATCH($D667,products!$A$2:$A$49,0),COLUMN(C666))</f>
        <v>0.2</v>
      </c>
      <c r="L667" s="5" cm="1">
        <f t="array" ref="L667">INDEX(products!$B$2:$E$49,MATCH($D667,products!$A$2:$A$49,0),COLUMN(D666))</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INDEX(products!$A$1:$G$49,MATCH($D668,products!$A$1:$A$49,0),MATCH(I$1,products!$A$1:$G$1,0))</f>
        <v>Ara</v>
      </c>
      <c r="J668" t="str" cm="1">
        <f t="array" ref="J668">INDEX(products!$B$2:$E$49,MATCH($D668,products!$A$2:$A$49,0),COLUMN(B667))</f>
        <v>D</v>
      </c>
      <c r="K668" s="4" cm="1">
        <f t="array" ref="K668">INDEX(products!$B$2:$E$49,MATCH($D668,products!$A$2:$A$49,0),COLUMN(C667))</f>
        <v>2.5</v>
      </c>
      <c r="L668" s="5" cm="1">
        <f t="array" ref="L668">INDEX(products!$B$2:$E$49,MATCH($D668,products!$A$2:$A$49,0),COLUMN(D667))</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INDEX(products!$A$1:$G$49,MATCH($D669,products!$A$1:$A$49,0),MATCH(I$1,products!$A$1:$G$1,0))</f>
        <v>Ara</v>
      </c>
      <c r="J669" t="str" cm="1">
        <f t="array" ref="J669">INDEX(products!$B$2:$E$49,MATCH($D669,products!$A$2:$A$49,0),COLUMN(B668))</f>
        <v>D</v>
      </c>
      <c r="K669" s="4" cm="1">
        <f t="array" ref="K669">INDEX(products!$B$2:$E$49,MATCH($D669,products!$A$2:$A$49,0),COLUMN(C668))</f>
        <v>1</v>
      </c>
      <c r="L669" s="5" cm="1">
        <f t="array" ref="L669">INDEX(products!$B$2:$E$49,MATCH($D669,products!$A$2:$A$49,0),COLUMN(D668))</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INDEX(products!$A$1:$G$49,MATCH($D670,products!$A$1:$A$49,0),MATCH(I$1,products!$A$1:$G$1,0))</f>
        <v>Rob</v>
      </c>
      <c r="J670" t="str" cm="1">
        <f t="array" ref="J670">INDEX(products!$B$2:$E$49,MATCH($D670,products!$A$2:$A$49,0),COLUMN(B669))</f>
        <v>L</v>
      </c>
      <c r="K670" s="4" cm="1">
        <f t="array" ref="K670">INDEX(products!$B$2:$E$49,MATCH($D670,products!$A$2:$A$49,0),COLUMN(C669))</f>
        <v>2.5</v>
      </c>
      <c r="L670" s="5" cm="1">
        <f t="array" ref="L670">INDEX(products!$B$2:$E$49,MATCH($D670,products!$A$2:$A$49,0),COLUMN(D669))</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INDEX(products!$A$1:$G$49,MATCH($D671,products!$A$1:$A$49,0),MATCH(I$1,products!$A$1:$G$1,0))</f>
        <v>Lib</v>
      </c>
      <c r="J671" t="str" cm="1">
        <f t="array" ref="J671">INDEX(products!$B$2:$E$49,MATCH($D671,products!$A$2:$A$49,0),COLUMN(B670))</f>
        <v>M</v>
      </c>
      <c r="K671" s="4" cm="1">
        <f t="array" ref="K671">INDEX(products!$B$2:$E$49,MATCH($D671,products!$A$2:$A$49,0),COLUMN(C670))</f>
        <v>2.5</v>
      </c>
      <c r="L671" s="5" cm="1">
        <f t="array" ref="L671">INDEX(products!$B$2:$E$49,MATCH($D671,products!$A$2:$A$49,0),COLUMN(D670))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INDEX(products!$A$1:$G$49,MATCH($D672,products!$A$1:$A$49,0),MATCH(I$1,products!$A$1:$G$1,0))</f>
        <v>Lib</v>
      </c>
      <c r="J672" t="str" cm="1">
        <f t="array" ref="J672">INDEX(products!$B$2:$E$49,MATCH($D672,products!$A$2:$A$49,0),COLUMN(B671))</f>
        <v>M</v>
      </c>
      <c r="K672" s="4" cm="1">
        <f t="array" ref="K672">INDEX(products!$B$2:$E$49,MATCH($D672,products!$A$2:$A$49,0),COLUMN(C671))</f>
        <v>0.2</v>
      </c>
      <c r="L672" s="5" cm="1">
        <f t="array" ref="L672">INDEX(products!$B$2:$E$49,MATCH($D672,products!$A$2:$A$49,0),COLUMN(D671))</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INDEX(products!$A$1:$G$49,MATCH($D673,products!$A$1:$A$49,0),MATCH(I$1,products!$A$1:$G$1,0))</f>
        <v>Rob</v>
      </c>
      <c r="J673" t="str" cm="1">
        <f t="array" ref="J673">INDEX(products!$B$2:$E$49,MATCH($D673,products!$A$2:$A$49,0),COLUMN(B672))</f>
        <v>L</v>
      </c>
      <c r="K673" s="4" cm="1">
        <f t="array" ref="K673">INDEX(products!$B$2:$E$49,MATCH($D673,products!$A$2:$A$49,0),COLUMN(C672))</f>
        <v>1</v>
      </c>
      <c r="L673" s="5" cm="1">
        <f t="array" ref="L673">INDEX(products!$B$2:$E$49,MATCH($D673,products!$A$2:$A$49,0),COLUMN(D672))</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INDEX(products!$A$1:$G$49,MATCH($D674,products!$A$1:$A$49,0),MATCH(I$1,products!$A$1:$G$1,0))</f>
        <v>Lib</v>
      </c>
      <c r="J674" t="str" cm="1">
        <f t="array" ref="J674">INDEX(products!$B$2:$E$49,MATCH($D674,products!$A$2:$A$49,0),COLUMN(B673))</f>
        <v>M</v>
      </c>
      <c r="K674" s="4" cm="1">
        <f t="array" ref="K674">INDEX(products!$B$2:$E$49,MATCH($D674,products!$A$2:$A$49,0),COLUMN(C673))</f>
        <v>0.5</v>
      </c>
      <c r="L674" s="5" cm="1">
        <f t="array" ref="L674">INDEX(products!$B$2:$E$49,MATCH($D674,products!$A$2:$A$49,0),COLUMN(D673))</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INDEX(products!$A$1:$G$49,MATCH($D675,products!$A$1:$A$49,0),MATCH(I$1,products!$A$1:$G$1,0))</f>
        <v>Exc</v>
      </c>
      <c r="J675" t="str" cm="1">
        <f t="array" ref="J675">INDEX(products!$B$2:$E$49,MATCH($D675,products!$A$2:$A$49,0),COLUMN(B674))</f>
        <v>M</v>
      </c>
      <c r="K675" s="4" cm="1">
        <f t="array" ref="K675">INDEX(products!$B$2:$E$49,MATCH($D675,products!$A$2:$A$49,0),COLUMN(C674))</f>
        <v>1</v>
      </c>
      <c r="L675" s="5" cm="1">
        <f t="array" ref="L675">INDEX(products!$B$2:$E$49,MATCH($D675,products!$A$2:$A$49,0),COLUMN(D674))</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INDEX(products!$A$1:$G$49,MATCH($D676,products!$A$1:$A$49,0),MATCH(I$1,products!$A$1:$G$1,0))</f>
        <v>Ara</v>
      </c>
      <c r="J676" t="str" cm="1">
        <f t="array" ref="J676">INDEX(products!$B$2:$E$49,MATCH($D676,products!$A$2:$A$49,0),COLUMN(B675))</f>
        <v>L</v>
      </c>
      <c r="K676" s="4" cm="1">
        <f t="array" ref="K676">INDEX(products!$B$2:$E$49,MATCH($D676,products!$A$2:$A$49,0),COLUMN(C675))</f>
        <v>2.5</v>
      </c>
      <c r="L676" s="5" cm="1">
        <f t="array" ref="L676">INDEX(products!$B$2:$E$49,MATCH($D676,products!$A$2:$A$49,0),COLUMN(D675))</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f>
        <v>Terri Lyford</v>
      </c>
      <c r="G677" s="2" t="str">
        <f>IF(_xlfn.XLOOKUP(C677,customers!$A$1:$A$1001,customers!$C$1:$C$1001,,0)=0,"",(_xlfn.XLOOKUP(C677,customers!$A$1:$A$1001,customers!$C$1:$C$1001,,0)))</f>
        <v/>
      </c>
      <c r="H677" s="2" t="str">
        <f>_xlfn.XLOOKUP(C677,customers!$A$1:$A$1001,customers!$G$1:$G$1001,,0)</f>
        <v>United States</v>
      </c>
      <c r="I677" t="str">
        <f>INDEX(products!$A$1:$G$49,MATCH($D677,products!$A$1:$A$49,0),MATCH(I$1,products!$A$1:$G$1,0))</f>
        <v>Lib</v>
      </c>
      <c r="J677" t="str" cm="1">
        <f t="array" ref="J677">INDEX(products!$B$2:$E$49,MATCH($D677,products!$A$2:$A$49,0),COLUMN(B676))</f>
        <v>D</v>
      </c>
      <c r="K677" s="4" cm="1">
        <f t="array" ref="K677">INDEX(products!$B$2:$E$49,MATCH($D677,products!$A$2:$A$49,0),COLUMN(C676))</f>
        <v>2.5</v>
      </c>
      <c r="L677" s="5" cm="1">
        <f t="array" ref="L677">INDEX(products!$B$2:$E$49,MATCH($D677,products!$A$2:$A$49,0),COLUMN(D676))</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f>
        <v>Gabey Cogan</v>
      </c>
      <c r="G678" s="2" t="str">
        <f>IF(_xlfn.XLOOKUP(C678,customers!$A$1:$A$1001,customers!$C$1:$C$1001,,0)=0,"",(_xlfn.XLOOKUP(C678,customers!$A$1:$A$1001,customers!$C$1:$C$1001,,0)))</f>
        <v/>
      </c>
      <c r="H678" s="2" t="str">
        <f>_xlfn.XLOOKUP(C678,customers!$A$1:$A$1001,customers!$G$1:$G$1001,,0)</f>
        <v>United States</v>
      </c>
      <c r="I678" t="str">
        <f>INDEX(products!$A$1:$G$49,MATCH($D678,products!$A$1:$A$49,0),MATCH(I$1,products!$A$1:$G$1,0))</f>
        <v>Lib</v>
      </c>
      <c r="J678" t="str" cm="1">
        <f t="array" ref="J678">INDEX(products!$B$2:$E$49,MATCH($D678,products!$A$2:$A$49,0),COLUMN(B677))</f>
        <v>L</v>
      </c>
      <c r="K678" s="4" cm="1">
        <f t="array" ref="K678">INDEX(products!$B$2:$E$49,MATCH($D678,products!$A$2:$A$49,0),COLUMN(C677))</f>
        <v>0.5</v>
      </c>
      <c r="L678" s="5" cm="1">
        <f t="array" ref="L678">INDEX(products!$B$2:$E$49,MATCH($D678,products!$A$2:$A$49,0),COLUMN(D677))</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INDEX(products!$A$1:$G$49,MATCH($D679,products!$A$1:$A$49,0),MATCH(I$1,products!$A$1:$G$1,0))</f>
        <v>Lib</v>
      </c>
      <c r="J679" t="str" cm="1">
        <f t="array" ref="J679">INDEX(products!$B$2:$E$49,MATCH($D679,products!$A$2:$A$49,0),COLUMN(B678))</f>
        <v>M</v>
      </c>
      <c r="K679" s="4" cm="1">
        <f t="array" ref="K679">INDEX(products!$B$2:$E$49,MATCH($D679,products!$A$2:$A$49,0),COLUMN(C678))</f>
        <v>0.5</v>
      </c>
      <c r="L679" s="5" cm="1">
        <f t="array" ref="L679">INDEX(products!$B$2:$E$49,MATCH($D679,products!$A$2:$A$49,0),COLUMN(D678))</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INDEX(products!$A$1:$G$49,MATCH($D680,products!$A$1:$A$49,0),MATCH(I$1,products!$A$1:$G$1,0))</f>
        <v>Ara</v>
      </c>
      <c r="J680" t="str" cm="1">
        <f t="array" ref="J680">INDEX(products!$B$2:$E$49,MATCH($D680,products!$A$2:$A$49,0),COLUMN(B679))</f>
        <v>L</v>
      </c>
      <c r="K680" s="4" cm="1">
        <f t="array" ref="K680">INDEX(products!$B$2:$E$49,MATCH($D680,products!$A$2:$A$49,0),COLUMN(C679))</f>
        <v>2.5</v>
      </c>
      <c r="L680" s="5" cm="1">
        <f t="array" ref="L680">INDEX(products!$B$2:$E$49,MATCH($D680,products!$A$2:$A$49,0),COLUMN(D679))</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INDEX(products!$A$1:$G$49,MATCH($D681,products!$A$1:$A$49,0),MATCH(I$1,products!$A$1:$G$1,0))</f>
        <v>Rob</v>
      </c>
      <c r="J681" t="str" cm="1">
        <f t="array" ref="J681">INDEX(products!$B$2:$E$49,MATCH($D681,products!$A$2:$A$49,0),COLUMN(B680))</f>
        <v>L</v>
      </c>
      <c r="K681" s="4" cm="1">
        <f t="array" ref="K681">INDEX(products!$B$2:$E$49,MATCH($D681,products!$A$2:$A$49,0),COLUMN(C680))</f>
        <v>2.5</v>
      </c>
      <c r="L681" s="5" cm="1">
        <f t="array" ref="L681">INDEX(products!$B$2:$E$49,MATCH($D681,products!$A$2:$A$49,0),COLUMN(D680))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INDEX(products!$A$1:$G$49,MATCH($D682,products!$A$1:$A$49,0),MATCH(I$1,products!$A$1:$G$1,0))</f>
        <v>Ara</v>
      </c>
      <c r="J682" t="str" cm="1">
        <f t="array" ref="J682">INDEX(products!$B$2:$E$49,MATCH($D682,products!$A$2:$A$49,0),COLUMN(B681))</f>
        <v>M</v>
      </c>
      <c r="K682" s="4" cm="1">
        <f t="array" ref="K682">INDEX(products!$B$2:$E$49,MATCH($D682,products!$A$2:$A$49,0),COLUMN(C681))</f>
        <v>1</v>
      </c>
      <c r="L682" s="5" cm="1">
        <f t="array" ref="L682">INDEX(products!$B$2:$E$49,MATCH($D682,products!$A$2:$A$49,0),COLUMN(D681))</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INDEX(products!$A$1:$G$49,MATCH($D683,products!$A$1:$A$49,0),MATCH(I$1,products!$A$1:$G$1,0))</f>
        <v>Lib</v>
      </c>
      <c r="J683" t="str" cm="1">
        <f t="array" ref="J683">INDEX(products!$B$2:$E$49,MATCH($D683,products!$A$2:$A$49,0),COLUMN(B682))</f>
        <v>L</v>
      </c>
      <c r="K683" s="4" cm="1">
        <f t="array" ref="K683">INDEX(products!$B$2:$E$49,MATCH($D683,products!$A$2:$A$49,0),COLUMN(C682))</f>
        <v>0.2</v>
      </c>
      <c r="L683" s="5" cm="1">
        <f t="array" ref="L683">INDEX(products!$B$2:$E$49,MATCH($D683,products!$A$2:$A$49,0),COLUMN(D682))</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INDEX(products!$A$1:$G$49,MATCH($D684,products!$A$1:$A$49,0),MATCH(I$1,products!$A$1:$G$1,0))</f>
        <v>Exc</v>
      </c>
      <c r="J684" t="str" cm="1">
        <f t="array" ref="J684">INDEX(products!$B$2:$E$49,MATCH($D684,products!$A$2:$A$49,0),COLUMN(B683))</f>
        <v>M</v>
      </c>
      <c r="K684" s="4" cm="1">
        <f t="array" ref="K684">INDEX(products!$B$2:$E$49,MATCH($D684,products!$A$2:$A$49,0),COLUMN(C683))</f>
        <v>0.2</v>
      </c>
      <c r="L684" s="5" cm="1">
        <f t="array" ref="L684">INDEX(products!$B$2:$E$49,MATCH($D684,products!$A$2:$A$49,0),COLUMN(D683))</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INDEX(products!$A$1:$G$49,MATCH($D685,products!$A$1:$A$49,0),MATCH(I$1,products!$A$1:$G$1,0))</f>
        <v>Lib</v>
      </c>
      <c r="J685" t="str" cm="1">
        <f t="array" ref="J685">INDEX(products!$B$2:$E$49,MATCH($D685,products!$A$2:$A$49,0),COLUMN(B684))</f>
        <v>D</v>
      </c>
      <c r="K685" s="4" cm="1">
        <f t="array" ref="K685">INDEX(products!$B$2:$E$49,MATCH($D685,products!$A$2:$A$49,0),COLUMN(C684))</f>
        <v>0.5</v>
      </c>
      <c r="L685" s="5" cm="1">
        <f t="array" ref="L685">INDEX(products!$B$2:$E$49,MATCH($D685,products!$A$2:$A$49,0),COLUMN(D684))</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f>
        <v>Becca Ableson</v>
      </c>
      <c r="G686" s="2" t="str">
        <f>IF(_xlfn.XLOOKUP(C686,customers!$A$1:$A$1001,customers!$C$1:$C$1001,,0)=0,"",(_xlfn.XLOOKUP(C686,customers!$A$1:$A$1001,customers!$C$1:$C$1001,,0)))</f>
        <v/>
      </c>
      <c r="H686" s="2" t="str">
        <f>_xlfn.XLOOKUP(C686,customers!$A$1:$A$1001,customers!$G$1:$G$1001,,0)</f>
        <v>United States</v>
      </c>
      <c r="I686" t="str">
        <f>INDEX(products!$A$1:$G$49,MATCH($D686,products!$A$1:$A$49,0),MATCH(I$1,products!$A$1:$G$1,0))</f>
        <v>Rob</v>
      </c>
      <c r="J686" t="str" cm="1">
        <f t="array" ref="J686">INDEX(products!$B$2:$E$49,MATCH($D686,products!$A$2:$A$49,0),COLUMN(B685))</f>
        <v>L</v>
      </c>
      <c r="K686" s="4" cm="1">
        <f t="array" ref="K686">INDEX(products!$B$2:$E$49,MATCH($D686,products!$A$2:$A$49,0),COLUMN(C685))</f>
        <v>1</v>
      </c>
      <c r="L686" s="5" cm="1">
        <f t="array" ref="L686">INDEX(products!$B$2:$E$49,MATCH($D686,products!$A$2:$A$49,0),COLUMN(D685))</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INDEX(products!$A$1:$G$49,MATCH($D687,products!$A$1:$A$49,0),MATCH(I$1,products!$A$1:$G$1,0))</f>
        <v>Lib</v>
      </c>
      <c r="J687" t="str" cm="1">
        <f t="array" ref="J687">INDEX(products!$B$2:$E$49,MATCH($D687,products!$A$2:$A$49,0),COLUMN(B686))</f>
        <v>L</v>
      </c>
      <c r="K687" s="4" cm="1">
        <f t="array" ref="K687">INDEX(products!$B$2:$E$49,MATCH($D687,products!$A$2:$A$49,0),COLUMN(C686))</f>
        <v>2.5</v>
      </c>
      <c r="L687" s="5" cm="1">
        <f t="array" ref="L687">INDEX(products!$B$2:$E$49,MATCH($D687,products!$A$2:$A$49,0),COLUMN(D686))</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INDEX(products!$A$1:$G$49,MATCH($D688,products!$A$1:$A$49,0),MATCH(I$1,products!$A$1:$G$1,0))</f>
        <v>Rob</v>
      </c>
      <c r="J688" t="str" cm="1">
        <f t="array" ref="J688">INDEX(products!$B$2:$E$49,MATCH($D688,products!$A$2:$A$49,0),COLUMN(B687))</f>
        <v>D</v>
      </c>
      <c r="K688" s="4" cm="1">
        <f t="array" ref="K688">INDEX(products!$B$2:$E$49,MATCH($D688,products!$A$2:$A$49,0),COLUMN(C687))</f>
        <v>0.2</v>
      </c>
      <c r="L688" s="5" cm="1">
        <f t="array" ref="L688">INDEX(products!$B$2:$E$49,MATCH($D688,products!$A$2:$A$49,0),COLUMN(D687))</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INDEX(products!$A$1:$G$49,MATCH($D689,products!$A$1:$A$49,0),MATCH(I$1,products!$A$1:$G$1,0))</f>
        <v>Exc</v>
      </c>
      <c r="J689" t="str" cm="1">
        <f t="array" ref="J689">INDEX(products!$B$2:$E$49,MATCH($D689,products!$A$2:$A$49,0),COLUMN(B688))</f>
        <v>M</v>
      </c>
      <c r="K689" s="4" cm="1">
        <f t="array" ref="K689">INDEX(products!$B$2:$E$49,MATCH($D689,products!$A$2:$A$49,0),COLUMN(C688))</f>
        <v>0.5</v>
      </c>
      <c r="L689" s="5" cm="1">
        <f t="array" ref="L689">INDEX(products!$B$2:$E$49,MATCH($D689,products!$A$2:$A$49,0),COLUMN(D688))</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INDEX(products!$A$1:$G$49,MATCH($D690,products!$A$1:$A$49,0),MATCH(I$1,products!$A$1:$G$1,0))</f>
        <v>Ara</v>
      </c>
      <c r="J690" t="str" cm="1">
        <f t="array" ref="J690">INDEX(products!$B$2:$E$49,MATCH($D690,products!$A$2:$A$49,0),COLUMN(B689))</f>
        <v>L</v>
      </c>
      <c r="K690" s="4" cm="1">
        <f t="array" ref="K690">INDEX(products!$B$2:$E$49,MATCH($D690,products!$A$2:$A$49,0),COLUMN(C689))</f>
        <v>1</v>
      </c>
      <c r="L690" s="5" cm="1">
        <f t="array" ref="L690">INDEX(products!$B$2:$E$49,MATCH($D690,products!$A$2:$A$49,0),COLUMN(D689))</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INDEX(products!$A$1:$G$49,MATCH($D691,products!$A$1:$A$49,0),MATCH(I$1,products!$A$1:$G$1,0))</f>
        <v>Ara</v>
      </c>
      <c r="J691" t="str" cm="1">
        <f t="array" ref="J691">INDEX(products!$B$2:$E$49,MATCH($D691,products!$A$2:$A$49,0),COLUMN(B690))</f>
        <v>M</v>
      </c>
      <c r="K691" s="4" cm="1">
        <f t="array" ref="K691">INDEX(products!$B$2:$E$49,MATCH($D691,products!$A$2:$A$49,0),COLUMN(C690))</f>
        <v>0.5</v>
      </c>
      <c r="L691" s="5" cm="1">
        <f t="array" ref="L691">INDEX(products!$B$2:$E$49,MATCH($D691,products!$A$2:$A$49,0),COLUMN(D690))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f>
        <v>Francesco Dressel</v>
      </c>
      <c r="G692" s="2" t="str">
        <f>IF(_xlfn.XLOOKUP(C692,customers!$A$1:$A$1001,customers!$C$1:$C$1001,,0)=0,"",(_xlfn.XLOOKUP(C692,customers!$A$1:$A$1001,customers!$C$1:$C$1001,,0)))</f>
        <v/>
      </c>
      <c r="H692" s="2" t="str">
        <f>_xlfn.XLOOKUP(C692,customers!$A$1:$A$1001,customers!$G$1:$G$1001,,0)</f>
        <v>United States</v>
      </c>
      <c r="I692" t="str">
        <f>INDEX(products!$A$1:$G$49,MATCH($D692,products!$A$1:$A$49,0),MATCH(I$1,products!$A$1:$G$1,0))</f>
        <v>Lib</v>
      </c>
      <c r="J692" t="str" cm="1">
        <f t="array" ref="J692">INDEX(products!$B$2:$E$49,MATCH($D692,products!$A$2:$A$49,0),COLUMN(B691))</f>
        <v>D</v>
      </c>
      <c r="K692" s="4" cm="1">
        <f t="array" ref="K692">INDEX(products!$B$2:$E$49,MATCH($D692,products!$A$2:$A$49,0),COLUMN(C691))</f>
        <v>2.5</v>
      </c>
      <c r="L692" s="5" cm="1">
        <f t="array" ref="L692">INDEX(products!$B$2:$E$49,MATCH($D692,products!$A$2:$A$49,0),COLUMN(D691))</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INDEX(products!$A$1:$G$49,MATCH($D693,products!$A$1:$A$49,0),MATCH(I$1,products!$A$1:$G$1,0))</f>
        <v>Ara</v>
      </c>
      <c r="J693" t="str" cm="1">
        <f t="array" ref="J693">INDEX(products!$B$2:$E$49,MATCH($D693,products!$A$2:$A$49,0),COLUMN(B692))</f>
        <v>M</v>
      </c>
      <c r="K693" s="4" cm="1">
        <f t="array" ref="K693">INDEX(products!$B$2:$E$49,MATCH($D693,products!$A$2:$A$49,0),COLUMN(C692))</f>
        <v>1</v>
      </c>
      <c r="L693" s="5" cm="1">
        <f t="array" ref="L693">INDEX(products!$B$2:$E$49,MATCH($D693,products!$A$2:$A$49,0),COLUMN(D692))</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INDEX(products!$A$1:$G$49,MATCH($D694,products!$A$1:$A$49,0),MATCH(I$1,products!$A$1:$G$1,0))</f>
        <v>Lib</v>
      </c>
      <c r="J694" t="str" cm="1">
        <f t="array" ref="J694">INDEX(products!$B$2:$E$49,MATCH($D694,products!$A$2:$A$49,0),COLUMN(B693))</f>
        <v>D</v>
      </c>
      <c r="K694" s="4" cm="1">
        <f t="array" ref="K694">INDEX(products!$B$2:$E$49,MATCH($D694,products!$A$2:$A$49,0),COLUMN(C693))</f>
        <v>1</v>
      </c>
      <c r="L694" s="5" cm="1">
        <f t="array" ref="L694">INDEX(products!$B$2:$E$49,MATCH($D694,products!$A$2:$A$49,0),COLUMN(D693))</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INDEX(products!$A$1:$G$49,MATCH($D695,products!$A$1:$A$49,0),MATCH(I$1,products!$A$1:$G$1,0))</f>
        <v>Ara</v>
      </c>
      <c r="J695" t="str" cm="1">
        <f t="array" ref="J695">INDEX(products!$B$2:$E$49,MATCH($D695,products!$A$2:$A$49,0),COLUMN(B694))</f>
        <v>M</v>
      </c>
      <c r="K695" s="4" cm="1">
        <f t="array" ref="K695">INDEX(products!$B$2:$E$49,MATCH($D695,products!$A$2:$A$49,0),COLUMN(C694))</f>
        <v>2.5</v>
      </c>
      <c r="L695" s="5" cm="1">
        <f t="array" ref="L695">INDEX(products!$B$2:$E$49,MATCH($D695,products!$A$2:$A$49,0),COLUMN(D694))</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INDEX(products!$A$1:$G$49,MATCH($D696,products!$A$1:$A$49,0),MATCH(I$1,products!$A$1:$G$1,0))</f>
        <v>Exc</v>
      </c>
      <c r="J696" t="str" cm="1">
        <f t="array" ref="J696">INDEX(products!$B$2:$E$49,MATCH($D696,products!$A$2:$A$49,0),COLUMN(B695))</f>
        <v>D</v>
      </c>
      <c r="K696" s="4" cm="1">
        <f t="array" ref="K696">INDEX(products!$B$2:$E$49,MATCH($D696,products!$A$2:$A$49,0),COLUMN(C695))</f>
        <v>0.5</v>
      </c>
      <c r="L696" s="5" cm="1">
        <f t="array" ref="L696">INDEX(products!$B$2:$E$49,MATCH($D696,products!$A$2:$A$49,0),COLUMN(D695))</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INDEX(products!$A$1:$G$49,MATCH($D697,products!$A$1:$A$49,0),MATCH(I$1,products!$A$1:$G$1,0))</f>
        <v>Lib</v>
      </c>
      <c r="J697" t="str" cm="1">
        <f t="array" ref="J697">INDEX(products!$B$2:$E$49,MATCH($D697,products!$A$2:$A$49,0),COLUMN(B696))</f>
        <v>L</v>
      </c>
      <c r="K697" s="4" cm="1">
        <f t="array" ref="K697">INDEX(products!$B$2:$E$49,MATCH($D697,products!$A$2:$A$49,0),COLUMN(C696))</f>
        <v>2.5</v>
      </c>
      <c r="L697" s="5" cm="1">
        <f t="array" ref="L697">INDEX(products!$B$2:$E$49,MATCH($D697,products!$A$2:$A$49,0),COLUMN(D696))</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INDEX(products!$A$1:$G$49,MATCH($D698,products!$A$1:$A$49,0),MATCH(I$1,products!$A$1:$G$1,0))</f>
        <v>Lib</v>
      </c>
      <c r="J698" t="str" cm="1">
        <f t="array" ref="J698">INDEX(products!$B$2:$E$49,MATCH($D698,products!$A$2:$A$49,0),COLUMN(B697))</f>
        <v>D</v>
      </c>
      <c r="K698" s="4" cm="1">
        <f t="array" ref="K698">INDEX(products!$B$2:$E$49,MATCH($D698,products!$A$2:$A$49,0),COLUMN(C697))</f>
        <v>0.5</v>
      </c>
      <c r="L698" s="5" cm="1">
        <f t="array" ref="L698">INDEX(products!$B$2:$E$49,MATCH($D698,products!$A$2:$A$49,0),COLUMN(D697))</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f>
        <v>Myrle Dearden</v>
      </c>
      <c r="G699" s="2" t="str">
        <f>IF(_xlfn.XLOOKUP(C699,customers!$A$1:$A$1001,customers!$C$1:$C$1001,,0)=0,"",(_xlfn.XLOOKUP(C699,customers!$A$1:$A$1001,customers!$C$1:$C$1001,,0)))</f>
        <v/>
      </c>
      <c r="H699" s="2" t="str">
        <f>_xlfn.XLOOKUP(C699,customers!$A$1:$A$1001,customers!$G$1:$G$1001,,0)</f>
        <v>Ireland</v>
      </c>
      <c r="I699" t="str">
        <f>INDEX(products!$A$1:$G$49,MATCH($D699,products!$A$1:$A$49,0),MATCH(I$1,products!$A$1:$G$1,0))</f>
        <v>Ara</v>
      </c>
      <c r="J699" t="str" cm="1">
        <f t="array" ref="J699">INDEX(products!$B$2:$E$49,MATCH($D699,products!$A$2:$A$49,0),COLUMN(B698))</f>
        <v>M</v>
      </c>
      <c r="K699" s="4" cm="1">
        <f t="array" ref="K699">INDEX(products!$B$2:$E$49,MATCH($D699,products!$A$2:$A$49,0),COLUMN(C698))</f>
        <v>0.5</v>
      </c>
      <c r="L699" s="5" cm="1">
        <f t="array" ref="L699">INDEX(products!$B$2:$E$49,MATCH($D699,products!$A$2:$A$49,0),COLUMN(D698))</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INDEX(products!$A$1:$G$49,MATCH($D700,products!$A$1:$A$49,0),MATCH(I$1,products!$A$1:$G$1,0))</f>
        <v>Lib</v>
      </c>
      <c r="J700" t="str" cm="1">
        <f t="array" ref="J700">INDEX(products!$B$2:$E$49,MATCH($D700,products!$A$2:$A$49,0),COLUMN(B699))</f>
        <v>D</v>
      </c>
      <c r="K700" s="4" cm="1">
        <f t="array" ref="K700">INDEX(products!$B$2:$E$49,MATCH($D700,products!$A$2:$A$49,0),COLUMN(C699))</f>
        <v>1</v>
      </c>
      <c r="L700" s="5" cm="1">
        <f t="array" ref="L700">INDEX(products!$B$2:$E$49,MATCH($D700,products!$A$2:$A$49,0),COLUMN(D699))</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INDEX(products!$A$1:$G$49,MATCH($D701,products!$A$1:$A$49,0),MATCH(I$1,products!$A$1:$G$1,0))</f>
        <v>Ara</v>
      </c>
      <c r="J701" t="str" cm="1">
        <f t="array" ref="J701">INDEX(products!$B$2:$E$49,MATCH($D701,products!$A$2:$A$49,0),COLUMN(B700))</f>
        <v>D</v>
      </c>
      <c r="K701" s="4" cm="1">
        <f t="array" ref="K701">INDEX(products!$B$2:$E$49,MATCH($D701,products!$A$2:$A$49,0),COLUMN(C700))</f>
        <v>0.5</v>
      </c>
      <c r="L701" s="5" cm="1">
        <f t="array" ref="L701">INDEX(products!$B$2:$E$49,MATCH($D701,products!$A$2:$A$49,0),COLUMN(D700))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INDEX(products!$A$1:$G$49,MATCH($D702,products!$A$1:$A$49,0),MATCH(I$1,products!$A$1:$G$1,0))</f>
        <v>Lib</v>
      </c>
      <c r="J702" t="str" cm="1">
        <f t="array" ref="J702">INDEX(products!$B$2:$E$49,MATCH($D702,products!$A$2:$A$49,0),COLUMN(B701))</f>
        <v>L</v>
      </c>
      <c r="K702" s="4" cm="1">
        <f t="array" ref="K702">INDEX(products!$B$2:$E$49,MATCH($D702,products!$A$2:$A$49,0),COLUMN(C701))</f>
        <v>0.5</v>
      </c>
      <c r="L702" s="5" cm="1">
        <f t="array" ref="L702">INDEX(products!$B$2:$E$49,MATCH($D702,products!$A$2:$A$49,0),COLUMN(D701))</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INDEX(products!$A$1:$G$49,MATCH($D703,products!$A$1:$A$49,0),MATCH(I$1,products!$A$1:$G$1,0))</f>
        <v>Ara</v>
      </c>
      <c r="J703" t="str" cm="1">
        <f t="array" ref="J703">INDEX(products!$B$2:$E$49,MATCH($D703,products!$A$2:$A$49,0),COLUMN(B702))</f>
        <v>D</v>
      </c>
      <c r="K703" s="4" cm="1">
        <f t="array" ref="K703">INDEX(products!$B$2:$E$49,MATCH($D703,products!$A$2:$A$49,0),COLUMN(C702))</f>
        <v>0.5</v>
      </c>
      <c r="L703" s="5" cm="1">
        <f t="array" ref="L703">INDEX(products!$B$2:$E$49,MATCH($D703,products!$A$2:$A$49,0),COLUMN(D702))</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INDEX(products!$A$1:$G$49,MATCH($D704,products!$A$1:$A$49,0),MATCH(I$1,products!$A$1:$G$1,0))</f>
        <v>Ara</v>
      </c>
      <c r="J704" t="str" cm="1">
        <f t="array" ref="J704">INDEX(products!$B$2:$E$49,MATCH($D704,products!$A$2:$A$49,0),COLUMN(B703))</f>
        <v>L</v>
      </c>
      <c r="K704" s="4" cm="1">
        <f t="array" ref="K704">INDEX(products!$B$2:$E$49,MATCH($D704,products!$A$2:$A$49,0),COLUMN(C703))</f>
        <v>0.5</v>
      </c>
      <c r="L704" s="5" cm="1">
        <f t="array" ref="L704">INDEX(products!$B$2:$E$49,MATCH($D704,products!$A$2:$A$49,0),COLUMN(D703))</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f>
        <v>Doralin Baison</v>
      </c>
      <c r="G705" s="2" t="str">
        <f>IF(_xlfn.XLOOKUP(C705,customers!$A$1:$A$1001,customers!$C$1:$C$1001,,0)=0,"",(_xlfn.XLOOKUP(C705,customers!$A$1:$A$1001,customers!$C$1:$C$1001,,0)))</f>
        <v/>
      </c>
      <c r="H705" s="2" t="str">
        <f>_xlfn.XLOOKUP(C705,customers!$A$1:$A$1001,customers!$G$1:$G$1001,,0)</f>
        <v>Ireland</v>
      </c>
      <c r="I705" t="str">
        <f>INDEX(products!$A$1:$G$49,MATCH($D705,products!$A$1:$A$49,0),MATCH(I$1,products!$A$1:$G$1,0))</f>
        <v>Lib</v>
      </c>
      <c r="J705" t="str" cm="1">
        <f t="array" ref="J705">INDEX(products!$B$2:$E$49,MATCH($D705,products!$A$2:$A$49,0),COLUMN(B704))</f>
        <v>D</v>
      </c>
      <c r="K705" s="4" cm="1">
        <f t="array" ref="K705">INDEX(products!$B$2:$E$49,MATCH($D705,products!$A$2:$A$49,0),COLUMN(C704))</f>
        <v>2.5</v>
      </c>
      <c r="L705" s="5" cm="1">
        <f t="array" ref="L705">INDEX(products!$B$2:$E$49,MATCH($D705,products!$A$2:$A$49,0),COLUMN(D704))</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f>
        <v>Josefina Ferens</v>
      </c>
      <c r="G706" s="2" t="str">
        <f>IF(_xlfn.XLOOKUP(C706,customers!$A$1:$A$1001,customers!$C$1:$C$1001,,0)=0,"",(_xlfn.XLOOKUP(C706,customers!$A$1:$A$1001,customers!$C$1:$C$1001,,0)))</f>
        <v/>
      </c>
      <c r="H706" s="2" t="str">
        <f>_xlfn.XLOOKUP(C706,customers!$A$1:$A$1001,customers!$G$1:$G$1001,,0)</f>
        <v>United States</v>
      </c>
      <c r="I706" t="str">
        <f>INDEX(products!$A$1:$G$49,MATCH($D706,products!$A$1:$A$49,0),MATCH(I$1,products!$A$1:$G$1,0))</f>
        <v>Exc</v>
      </c>
      <c r="J706" t="str" cm="1">
        <f t="array" ref="J706">INDEX(products!$B$2:$E$49,MATCH($D706,products!$A$2:$A$49,0),COLUMN(B705))</f>
        <v>D</v>
      </c>
      <c r="K706" s="4" cm="1">
        <f t="array" ref="K706">INDEX(products!$B$2:$E$49,MATCH($D706,products!$A$2:$A$49,0),COLUMN(C705))</f>
        <v>0.2</v>
      </c>
      <c r="L706" s="5" cm="1">
        <f t="array" ref="L706">INDEX(products!$B$2:$E$49,MATCH($D706,products!$A$2:$A$49,0),COLUMN(D705))</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INDEX(products!$A$1:$G$49,MATCH($D707,products!$A$1:$A$49,0),MATCH(I$1,products!$A$1:$G$1,0))</f>
        <v>Exc</v>
      </c>
      <c r="J707" t="str" cm="1">
        <f t="array" ref="J707">INDEX(products!$B$2:$E$49,MATCH($D707,products!$A$2:$A$49,0),COLUMN(B706))</f>
        <v>L</v>
      </c>
      <c r="K707" s="4" cm="1">
        <f t="array" ref="K707">INDEX(products!$B$2:$E$49,MATCH($D707,products!$A$2:$A$49,0),COLUMN(C706))</f>
        <v>0.5</v>
      </c>
      <c r="L707" s="5" cm="1">
        <f t="array" ref="L707">INDEX(products!$B$2:$E$49,MATCH($D707,products!$A$2:$A$49,0),COLUMN(D706))</f>
        <v>8.91</v>
      </c>
      <c r="M707" s="5">
        <f t="shared" ref="M707:M770" si="33">E707*L707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INDEX(products!$A$1:$G$49,MATCH($D708,products!$A$1:$A$49,0),MATCH(I$1,products!$A$1:$G$1,0))</f>
        <v>Exc</v>
      </c>
      <c r="J708" t="str" cm="1">
        <f t="array" ref="J708">INDEX(products!$B$2:$E$49,MATCH($D708,products!$A$2:$A$49,0),COLUMN(B707))</f>
        <v>M</v>
      </c>
      <c r="K708" s="4" cm="1">
        <f t="array" ref="K708">INDEX(products!$B$2:$E$49,MATCH($D708,products!$A$2:$A$49,0),COLUMN(C707))</f>
        <v>0.2</v>
      </c>
      <c r="L708" s="5" cm="1">
        <f t="array" ref="L708">INDEX(products!$B$2:$E$49,MATCH($D708,products!$A$2:$A$49,0),COLUMN(D707))</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f>
        <v>Nicolas Aiton</v>
      </c>
      <c r="G709" s="2" t="str">
        <f>IF(_xlfn.XLOOKUP(C709,customers!$A$1:$A$1001,customers!$C$1:$C$1001,,0)=0,"",(_xlfn.XLOOKUP(C709,customers!$A$1:$A$1001,customers!$C$1:$C$1001,,0)))</f>
        <v/>
      </c>
      <c r="H709" s="2" t="str">
        <f>_xlfn.XLOOKUP(C709,customers!$A$1:$A$1001,customers!$G$1:$G$1001,,0)</f>
        <v>Ireland</v>
      </c>
      <c r="I709" t="str">
        <f>INDEX(products!$A$1:$G$49,MATCH($D709,products!$A$1:$A$49,0),MATCH(I$1,products!$A$1:$G$1,0))</f>
        <v>Lib</v>
      </c>
      <c r="J709" t="str" cm="1">
        <f t="array" ref="J709">INDEX(products!$B$2:$E$49,MATCH($D709,products!$A$2:$A$49,0),COLUMN(B708))</f>
        <v>D</v>
      </c>
      <c r="K709" s="4" cm="1">
        <f t="array" ref="K709">INDEX(products!$B$2:$E$49,MATCH($D709,products!$A$2:$A$49,0),COLUMN(C708))</f>
        <v>1</v>
      </c>
      <c r="L709" s="5" cm="1">
        <f t="array" ref="L709">INDEX(products!$B$2:$E$49,MATCH($D709,products!$A$2:$A$49,0),COLUMN(D708))</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INDEX(products!$A$1:$G$49,MATCH($D710,products!$A$1:$A$49,0),MATCH(I$1,products!$A$1:$G$1,0))</f>
        <v>Ara</v>
      </c>
      <c r="J710" t="str" cm="1">
        <f t="array" ref="J710">INDEX(products!$B$2:$E$49,MATCH($D710,products!$A$2:$A$49,0),COLUMN(B709))</f>
        <v>M</v>
      </c>
      <c r="K710" s="4" cm="1">
        <f t="array" ref="K710">INDEX(products!$B$2:$E$49,MATCH($D710,products!$A$2:$A$49,0),COLUMN(C709))</f>
        <v>0.5</v>
      </c>
      <c r="L710" s="5" cm="1">
        <f t="array" ref="L710">INDEX(products!$B$2:$E$49,MATCH($D710,products!$A$2:$A$49,0),COLUMN(D709))</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f>
        <v>Lyell Murch</v>
      </c>
      <c r="G711" s="2" t="str">
        <f>IF(_xlfn.XLOOKUP(C711,customers!$A$1:$A$1001,customers!$C$1:$C$1001,,0)=0,"",(_xlfn.XLOOKUP(C711,customers!$A$1:$A$1001,customers!$C$1:$C$1001,,0)))</f>
        <v/>
      </c>
      <c r="H711" s="2" t="str">
        <f>_xlfn.XLOOKUP(C711,customers!$A$1:$A$1001,customers!$G$1:$G$1001,,0)</f>
        <v>United States</v>
      </c>
      <c r="I711" t="str">
        <f>INDEX(products!$A$1:$G$49,MATCH($D711,products!$A$1:$A$49,0),MATCH(I$1,products!$A$1:$G$1,0))</f>
        <v>Exc</v>
      </c>
      <c r="J711" t="str" cm="1">
        <f t="array" ref="J711">INDEX(products!$B$2:$E$49,MATCH($D711,products!$A$2:$A$49,0),COLUMN(B710))</f>
        <v>L</v>
      </c>
      <c r="K711" s="4" cm="1">
        <f t="array" ref="K711">INDEX(products!$B$2:$E$49,MATCH($D711,products!$A$2:$A$49,0),COLUMN(C710))</f>
        <v>0.5</v>
      </c>
      <c r="L711" s="5" cm="1">
        <f t="array" ref="L711">INDEX(products!$B$2:$E$49,MATCH($D711,products!$A$2:$A$49,0),COLUMN(D710))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INDEX(products!$A$1:$G$49,MATCH($D712,products!$A$1:$A$49,0),MATCH(I$1,products!$A$1:$G$1,0))</f>
        <v>Exc</v>
      </c>
      <c r="J712" t="str" cm="1">
        <f t="array" ref="J712">INDEX(products!$B$2:$E$49,MATCH($D712,products!$A$2:$A$49,0),COLUMN(B711))</f>
        <v>M</v>
      </c>
      <c r="K712" s="4" cm="1">
        <f t="array" ref="K712">INDEX(products!$B$2:$E$49,MATCH($D712,products!$A$2:$A$49,0),COLUMN(C711))</f>
        <v>0.5</v>
      </c>
      <c r="L712" s="5" cm="1">
        <f t="array" ref="L712">INDEX(products!$B$2:$E$49,MATCH($D712,products!$A$2:$A$49,0),COLUMN(D711))</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INDEX(products!$A$1:$G$49,MATCH($D713,products!$A$1:$A$49,0),MATCH(I$1,products!$A$1:$G$1,0))</f>
        <v>Rob</v>
      </c>
      <c r="J713" t="str" cm="1">
        <f t="array" ref="J713">INDEX(products!$B$2:$E$49,MATCH($D713,products!$A$2:$A$49,0),COLUMN(B712))</f>
        <v>M</v>
      </c>
      <c r="K713" s="4" cm="1">
        <f t="array" ref="K713">INDEX(products!$B$2:$E$49,MATCH($D713,products!$A$2:$A$49,0),COLUMN(C712))</f>
        <v>0.2</v>
      </c>
      <c r="L713" s="5" cm="1">
        <f t="array" ref="L713">INDEX(products!$B$2:$E$49,MATCH($D713,products!$A$2:$A$49,0),COLUMN(D712))</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f>
        <v>Silas Deehan</v>
      </c>
      <c r="G714" s="2" t="str">
        <f>IF(_xlfn.XLOOKUP(C714,customers!$A$1:$A$1001,customers!$C$1:$C$1001,,0)=0,"",(_xlfn.XLOOKUP(C714,customers!$A$1:$A$1001,customers!$C$1:$C$1001,,0)))</f>
        <v/>
      </c>
      <c r="H714" s="2" t="str">
        <f>_xlfn.XLOOKUP(C714,customers!$A$1:$A$1001,customers!$G$1:$G$1001,,0)</f>
        <v>United Kingdom</v>
      </c>
      <c r="I714" t="str">
        <f>INDEX(products!$A$1:$G$49,MATCH($D714,products!$A$1:$A$49,0),MATCH(I$1,products!$A$1:$G$1,0))</f>
        <v>Exc</v>
      </c>
      <c r="J714" t="str" cm="1">
        <f t="array" ref="J714">INDEX(products!$B$2:$E$49,MATCH($D714,products!$A$2:$A$49,0),COLUMN(B713))</f>
        <v>M</v>
      </c>
      <c r="K714" s="4" cm="1">
        <f t="array" ref="K714">INDEX(products!$B$2:$E$49,MATCH($D714,products!$A$2:$A$49,0),COLUMN(C713))</f>
        <v>0.5</v>
      </c>
      <c r="L714" s="5" cm="1">
        <f t="array" ref="L714">INDEX(products!$B$2:$E$49,MATCH($D714,products!$A$2:$A$49,0),COLUMN(D713))</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INDEX(products!$A$1:$G$49,MATCH($D715,products!$A$1:$A$49,0),MATCH(I$1,products!$A$1:$G$1,0))</f>
        <v>Rob</v>
      </c>
      <c r="J715" t="str" cm="1">
        <f t="array" ref="J715">INDEX(products!$B$2:$E$49,MATCH($D715,products!$A$2:$A$49,0),COLUMN(B714))</f>
        <v>M</v>
      </c>
      <c r="K715" s="4" cm="1">
        <f t="array" ref="K715">INDEX(products!$B$2:$E$49,MATCH($D715,products!$A$2:$A$49,0),COLUMN(C714))</f>
        <v>0.2</v>
      </c>
      <c r="L715" s="5" cm="1">
        <f t="array" ref="L715">INDEX(products!$B$2:$E$49,MATCH($D715,products!$A$2:$A$49,0),COLUMN(D714))</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f>
        <v>Alon Pllu</v>
      </c>
      <c r="G716" s="2" t="str">
        <f>IF(_xlfn.XLOOKUP(C716,customers!$A$1:$A$1001,customers!$C$1:$C$1001,,0)=0,"",(_xlfn.XLOOKUP(C716,customers!$A$1:$A$1001,customers!$C$1:$C$1001,,0)))</f>
        <v>aplluju@dagondesign.com</v>
      </c>
      <c r="H716" s="2" t="str">
        <f>_xlfn.XLOOKUP(C716,customers!$A$1:$A$1001,customers!$G$1:$G$1001,,0)</f>
        <v>Ireland</v>
      </c>
      <c r="I716" t="str">
        <f>INDEX(products!$A$1:$G$49,MATCH($D716,products!$A$1:$A$49,0),MATCH(I$1,products!$A$1:$G$1,0))</f>
        <v>Exc</v>
      </c>
      <c r="J716" t="str" cm="1">
        <f t="array" ref="J716">INDEX(products!$B$2:$E$49,MATCH($D716,products!$A$2:$A$49,0),COLUMN(B715))</f>
        <v>D</v>
      </c>
      <c r="K716" s="4" cm="1">
        <f t="array" ref="K716">INDEX(products!$B$2:$E$49,MATCH($D716,products!$A$2:$A$49,0),COLUMN(C715))</f>
        <v>0.2</v>
      </c>
      <c r="L716" s="5" cm="1">
        <f t="array" ref="L716">INDEX(products!$B$2:$E$49,MATCH($D716,products!$A$2:$A$49,0),COLUMN(D715))</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INDEX(products!$A$1:$G$49,MATCH($D717,products!$A$1:$A$49,0),MATCH(I$1,products!$A$1:$G$1,0))</f>
        <v>Exc</v>
      </c>
      <c r="J717" t="str" cm="1">
        <f t="array" ref="J717">INDEX(products!$B$2:$E$49,MATCH($D717,products!$A$2:$A$49,0),COLUMN(B716))</f>
        <v>L</v>
      </c>
      <c r="K717" s="4" cm="1">
        <f t="array" ref="K717">INDEX(products!$B$2:$E$49,MATCH($D717,products!$A$2:$A$49,0),COLUMN(C716))</f>
        <v>1</v>
      </c>
      <c r="L717" s="5" cm="1">
        <f t="array" ref="L717">INDEX(products!$B$2:$E$49,MATCH($D717,products!$A$2:$A$49,0),COLUMN(D716))</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INDEX(products!$A$1:$G$49,MATCH($D718,products!$A$1:$A$49,0),MATCH(I$1,products!$A$1:$G$1,0))</f>
        <v>Rob</v>
      </c>
      <c r="J718" t="str" cm="1">
        <f t="array" ref="J718">INDEX(products!$B$2:$E$49,MATCH($D718,products!$A$2:$A$49,0),COLUMN(B717))</f>
        <v>L</v>
      </c>
      <c r="K718" s="4" cm="1">
        <f t="array" ref="K718">INDEX(products!$B$2:$E$49,MATCH($D718,products!$A$2:$A$49,0),COLUMN(C717))</f>
        <v>1</v>
      </c>
      <c r="L718" s="5" cm="1">
        <f t="array" ref="L718">INDEX(products!$B$2:$E$49,MATCH($D718,products!$A$2:$A$49,0),COLUMN(D717))</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INDEX(products!$A$1:$G$49,MATCH($D719,products!$A$1:$A$49,0),MATCH(I$1,products!$A$1:$G$1,0))</f>
        <v>Ara</v>
      </c>
      <c r="J719" t="str" cm="1">
        <f t="array" ref="J719">INDEX(products!$B$2:$E$49,MATCH($D719,products!$A$2:$A$49,0),COLUMN(B718))</f>
        <v>D</v>
      </c>
      <c r="K719" s="4" cm="1">
        <f t="array" ref="K719">INDEX(products!$B$2:$E$49,MATCH($D719,products!$A$2:$A$49,0),COLUMN(C718))</f>
        <v>2.5</v>
      </c>
      <c r="L719" s="5" cm="1">
        <f t="array" ref="L719">INDEX(products!$B$2:$E$49,MATCH($D719,products!$A$2:$A$49,0),COLUMN(D718))</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INDEX(products!$A$1:$G$49,MATCH($D720,products!$A$1:$A$49,0),MATCH(I$1,products!$A$1:$G$1,0))</f>
        <v>Lib</v>
      </c>
      <c r="J720" t="str" cm="1">
        <f t="array" ref="J720">INDEX(products!$B$2:$E$49,MATCH($D720,products!$A$2:$A$49,0),COLUMN(B719))</f>
        <v>D</v>
      </c>
      <c r="K720" s="4" cm="1">
        <f t="array" ref="K720">INDEX(products!$B$2:$E$49,MATCH($D720,products!$A$2:$A$49,0),COLUMN(C719))</f>
        <v>1</v>
      </c>
      <c r="L720" s="5" cm="1">
        <f t="array" ref="L720">INDEX(products!$B$2:$E$49,MATCH($D720,products!$A$2:$A$49,0),COLUMN(D719))</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INDEX(products!$A$1:$G$49,MATCH($D721,products!$A$1:$A$49,0),MATCH(I$1,products!$A$1:$G$1,0))</f>
        <v>Lib</v>
      </c>
      <c r="J721" t="str" cm="1">
        <f t="array" ref="J721">INDEX(products!$B$2:$E$49,MATCH($D721,products!$A$2:$A$49,0),COLUMN(B720))</f>
        <v>L</v>
      </c>
      <c r="K721" s="4" cm="1">
        <f t="array" ref="K721">INDEX(products!$B$2:$E$49,MATCH($D721,products!$A$2:$A$49,0),COLUMN(C720))</f>
        <v>1</v>
      </c>
      <c r="L721" s="5" cm="1">
        <f t="array" ref="L721">INDEX(products!$B$2:$E$49,MATCH($D721,products!$A$2:$A$49,0),COLUMN(D720))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INDEX(products!$A$1:$G$49,MATCH($D722,products!$A$1:$A$49,0),MATCH(I$1,products!$A$1:$G$1,0))</f>
        <v>Exc</v>
      </c>
      <c r="J722" t="str" cm="1">
        <f t="array" ref="J722">INDEX(products!$B$2:$E$49,MATCH($D722,products!$A$2:$A$49,0),COLUMN(B721))</f>
        <v>D</v>
      </c>
      <c r="K722" s="4" cm="1">
        <f t="array" ref="K722">INDEX(products!$B$2:$E$49,MATCH($D722,products!$A$2:$A$49,0),COLUMN(C721))</f>
        <v>0.5</v>
      </c>
      <c r="L722" s="5" cm="1">
        <f t="array" ref="L722">INDEX(products!$B$2:$E$49,MATCH($D722,products!$A$2:$A$49,0),COLUMN(D721))</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INDEX(products!$A$1:$G$49,MATCH($D723,products!$A$1:$A$49,0),MATCH(I$1,products!$A$1:$G$1,0))</f>
        <v>Rob</v>
      </c>
      <c r="J723" t="str" cm="1">
        <f t="array" ref="J723">INDEX(products!$B$2:$E$49,MATCH($D723,products!$A$2:$A$49,0),COLUMN(B722))</f>
        <v>M</v>
      </c>
      <c r="K723" s="4" cm="1">
        <f t="array" ref="K723">INDEX(products!$B$2:$E$49,MATCH($D723,products!$A$2:$A$49,0),COLUMN(C722))</f>
        <v>0.2</v>
      </c>
      <c r="L723" s="5" cm="1">
        <f t="array" ref="L723">INDEX(products!$B$2:$E$49,MATCH($D723,products!$A$2:$A$49,0),COLUMN(D722))</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f>
        <v>Hetti Measures</v>
      </c>
      <c r="G724" s="2" t="str">
        <f>IF(_xlfn.XLOOKUP(C724,customers!$A$1:$A$1001,customers!$C$1:$C$1001,,0)=0,"",(_xlfn.XLOOKUP(C724,customers!$A$1:$A$1001,customers!$C$1:$C$1001,,0)))</f>
        <v/>
      </c>
      <c r="H724" s="2" t="str">
        <f>_xlfn.XLOOKUP(C724,customers!$A$1:$A$1001,customers!$G$1:$G$1001,,0)</f>
        <v>United States</v>
      </c>
      <c r="I724" t="str">
        <f>INDEX(products!$A$1:$G$49,MATCH($D724,products!$A$1:$A$49,0),MATCH(I$1,products!$A$1:$G$1,0))</f>
        <v>Exc</v>
      </c>
      <c r="J724" t="str" cm="1">
        <f t="array" ref="J724">INDEX(products!$B$2:$E$49,MATCH($D724,products!$A$2:$A$49,0),COLUMN(B723))</f>
        <v>D</v>
      </c>
      <c r="K724" s="4" cm="1">
        <f t="array" ref="K724">INDEX(products!$B$2:$E$49,MATCH($D724,products!$A$2:$A$49,0),COLUMN(C723))</f>
        <v>1</v>
      </c>
      <c r="L724" s="5" cm="1">
        <f t="array" ref="L724">INDEX(products!$B$2:$E$49,MATCH($D724,products!$A$2:$A$49,0),COLUMN(D723))</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INDEX(products!$A$1:$G$49,MATCH($D725,products!$A$1:$A$49,0),MATCH(I$1,products!$A$1:$G$1,0))</f>
        <v>Exc</v>
      </c>
      <c r="J725" t="str" cm="1">
        <f t="array" ref="J725">INDEX(products!$B$2:$E$49,MATCH($D725,products!$A$2:$A$49,0),COLUMN(B724))</f>
        <v>M</v>
      </c>
      <c r="K725" s="4" cm="1">
        <f t="array" ref="K725">INDEX(products!$B$2:$E$49,MATCH($D725,products!$A$2:$A$49,0),COLUMN(C724))</f>
        <v>2.5</v>
      </c>
      <c r="L725" s="5" cm="1">
        <f t="array" ref="L725">INDEX(products!$B$2:$E$49,MATCH($D725,products!$A$2:$A$49,0),COLUMN(D724))</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f>
        <v>Nico Hubert</v>
      </c>
      <c r="G726" s="2" t="str">
        <f>IF(_xlfn.XLOOKUP(C726,customers!$A$1:$A$1001,customers!$C$1:$C$1001,,0)=0,"",(_xlfn.XLOOKUP(C726,customers!$A$1:$A$1001,customers!$C$1:$C$1001,,0)))</f>
        <v/>
      </c>
      <c r="H726" s="2" t="str">
        <f>_xlfn.XLOOKUP(C726,customers!$A$1:$A$1001,customers!$G$1:$G$1001,,0)</f>
        <v>United States</v>
      </c>
      <c r="I726" t="str">
        <f>INDEX(products!$A$1:$G$49,MATCH($D726,products!$A$1:$A$49,0),MATCH(I$1,products!$A$1:$G$1,0))</f>
        <v>Ara</v>
      </c>
      <c r="J726" t="str" cm="1">
        <f t="array" ref="J726">INDEX(products!$B$2:$E$49,MATCH($D726,products!$A$2:$A$49,0),COLUMN(B725))</f>
        <v>M</v>
      </c>
      <c r="K726" s="4" cm="1">
        <f t="array" ref="K726">INDEX(products!$B$2:$E$49,MATCH($D726,products!$A$2:$A$49,0),COLUMN(C725))</f>
        <v>0.2</v>
      </c>
      <c r="L726" s="5" cm="1">
        <f t="array" ref="L726">INDEX(products!$B$2:$E$49,MATCH($D726,products!$A$2:$A$49,0),COLUMN(D725))</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INDEX(products!$A$1:$G$49,MATCH($D727,products!$A$1:$A$49,0),MATCH(I$1,products!$A$1:$G$1,0))</f>
        <v>Ara</v>
      </c>
      <c r="J727" t="str" cm="1">
        <f t="array" ref="J727">INDEX(products!$B$2:$E$49,MATCH($D727,products!$A$2:$A$49,0),COLUMN(B726))</f>
        <v>L</v>
      </c>
      <c r="K727" s="4" cm="1">
        <f t="array" ref="K727">INDEX(products!$B$2:$E$49,MATCH($D727,products!$A$2:$A$49,0),COLUMN(C726))</f>
        <v>0.2</v>
      </c>
      <c r="L727" s="5" cm="1">
        <f t="array" ref="L727">INDEX(products!$B$2:$E$49,MATCH($D727,products!$A$2:$A$49,0),COLUMN(D726))</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f>
        <v>Derrek Allpress</v>
      </c>
      <c r="G728" s="2" t="str">
        <f>IF(_xlfn.XLOOKUP(C728,customers!$A$1:$A$1001,customers!$C$1:$C$1001,,0)=0,"",(_xlfn.XLOOKUP(C728,customers!$A$1:$A$1001,customers!$C$1:$C$1001,,0)))</f>
        <v/>
      </c>
      <c r="H728" s="2" t="str">
        <f>_xlfn.XLOOKUP(C728,customers!$A$1:$A$1001,customers!$G$1:$G$1001,,0)</f>
        <v>United States</v>
      </c>
      <c r="I728" t="str">
        <f>INDEX(products!$A$1:$G$49,MATCH($D728,products!$A$1:$A$49,0),MATCH(I$1,products!$A$1:$G$1,0))</f>
        <v>Lib</v>
      </c>
      <c r="J728" t="str" cm="1">
        <f t="array" ref="J728">INDEX(products!$B$2:$E$49,MATCH($D728,products!$A$2:$A$49,0),COLUMN(B727))</f>
        <v>L</v>
      </c>
      <c r="K728" s="4" cm="1">
        <f t="array" ref="K728">INDEX(products!$B$2:$E$49,MATCH($D728,products!$A$2:$A$49,0),COLUMN(C727))</f>
        <v>2.5</v>
      </c>
      <c r="L728" s="5" cm="1">
        <f t="array" ref="L728">INDEX(products!$B$2:$E$49,MATCH($D728,products!$A$2:$A$49,0),COLUMN(D727))</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INDEX(products!$A$1:$G$49,MATCH($D729,products!$A$1:$A$49,0),MATCH(I$1,products!$A$1:$G$1,0))</f>
        <v>Rob</v>
      </c>
      <c r="J729" t="str" cm="1">
        <f t="array" ref="J729">INDEX(products!$B$2:$E$49,MATCH($D729,products!$A$2:$A$49,0),COLUMN(B728))</f>
        <v>M</v>
      </c>
      <c r="K729" s="4" cm="1">
        <f t="array" ref="K729">INDEX(products!$B$2:$E$49,MATCH($D729,products!$A$2:$A$49,0),COLUMN(C728))</f>
        <v>0.5</v>
      </c>
      <c r="L729" s="5" cm="1">
        <f t="array" ref="L729">INDEX(products!$B$2:$E$49,MATCH($D729,products!$A$2:$A$49,0),COLUMN(D728))</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INDEX(products!$A$1:$G$49,MATCH($D730,products!$A$1:$A$49,0),MATCH(I$1,products!$A$1:$G$1,0))</f>
        <v>Exc</v>
      </c>
      <c r="J730" t="str" cm="1">
        <f t="array" ref="J730">INDEX(products!$B$2:$E$49,MATCH($D730,products!$A$2:$A$49,0),COLUMN(B729))</f>
        <v>D</v>
      </c>
      <c r="K730" s="4" cm="1">
        <f t="array" ref="K730">INDEX(products!$B$2:$E$49,MATCH($D730,products!$A$2:$A$49,0),COLUMN(C729))</f>
        <v>0.5</v>
      </c>
      <c r="L730" s="5" cm="1">
        <f t="array" ref="L730">INDEX(products!$B$2:$E$49,MATCH($D730,products!$A$2:$A$49,0),COLUMN(D729))</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INDEX(products!$A$1:$G$49,MATCH($D731,products!$A$1:$A$49,0),MATCH(I$1,products!$A$1:$G$1,0))</f>
        <v>Lib</v>
      </c>
      <c r="J731" t="str" cm="1">
        <f t="array" ref="J731">INDEX(products!$B$2:$E$49,MATCH($D731,products!$A$2:$A$49,0),COLUMN(B730))</f>
        <v>M</v>
      </c>
      <c r="K731" s="4" cm="1">
        <f t="array" ref="K731">INDEX(products!$B$2:$E$49,MATCH($D731,products!$A$2:$A$49,0),COLUMN(C730))</f>
        <v>0.2</v>
      </c>
      <c r="L731" s="5" cm="1">
        <f t="array" ref="L731">INDEX(products!$B$2:$E$49,MATCH($D731,products!$A$2:$A$49,0),COLUMN(D730))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INDEX(products!$A$1:$G$49,MATCH($D732,products!$A$1:$A$49,0),MATCH(I$1,products!$A$1:$G$1,0))</f>
        <v>Lib</v>
      </c>
      <c r="J732" t="str" cm="1">
        <f t="array" ref="J732">INDEX(products!$B$2:$E$49,MATCH($D732,products!$A$2:$A$49,0),COLUMN(B731))</f>
        <v>L</v>
      </c>
      <c r="K732" s="4" cm="1">
        <f t="array" ref="K732">INDEX(products!$B$2:$E$49,MATCH($D732,products!$A$2:$A$49,0),COLUMN(C731))</f>
        <v>2.5</v>
      </c>
      <c r="L732" s="5" cm="1">
        <f t="array" ref="L732">INDEX(products!$B$2:$E$49,MATCH($D732,products!$A$2:$A$49,0),COLUMN(D731))</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f>
        <v>Leta Clarricoates</v>
      </c>
      <c r="G733" s="2" t="str">
        <f>IF(_xlfn.XLOOKUP(C733,customers!$A$1:$A$1001,customers!$C$1:$C$1001,,0)=0,"",(_xlfn.XLOOKUP(C733,customers!$A$1:$A$1001,customers!$C$1:$C$1001,,0)))</f>
        <v/>
      </c>
      <c r="H733" s="2" t="str">
        <f>_xlfn.XLOOKUP(C733,customers!$A$1:$A$1001,customers!$G$1:$G$1001,,0)</f>
        <v>United States</v>
      </c>
      <c r="I733" t="str">
        <f>INDEX(products!$A$1:$G$49,MATCH($D733,products!$A$1:$A$49,0),MATCH(I$1,products!$A$1:$G$1,0))</f>
        <v>Lib</v>
      </c>
      <c r="J733" t="str" cm="1">
        <f t="array" ref="J733">INDEX(products!$B$2:$E$49,MATCH($D733,products!$A$2:$A$49,0),COLUMN(B732))</f>
        <v>D</v>
      </c>
      <c r="K733" s="4" cm="1">
        <f t="array" ref="K733">INDEX(products!$B$2:$E$49,MATCH($D733,products!$A$2:$A$49,0),COLUMN(C732))</f>
        <v>0.2</v>
      </c>
      <c r="L733" s="5" cm="1">
        <f t="array" ref="L733">INDEX(products!$B$2:$E$49,MATCH($D733,products!$A$2:$A$49,0),COLUMN(D732))</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INDEX(products!$A$1:$G$49,MATCH($D734,products!$A$1:$A$49,0),MATCH(I$1,products!$A$1:$G$1,0))</f>
        <v>Exc</v>
      </c>
      <c r="J734" t="str" cm="1">
        <f t="array" ref="J734">INDEX(products!$B$2:$E$49,MATCH($D734,products!$A$2:$A$49,0),COLUMN(B733))</f>
        <v>L</v>
      </c>
      <c r="K734" s="4" cm="1">
        <f t="array" ref="K734">INDEX(products!$B$2:$E$49,MATCH($D734,products!$A$2:$A$49,0),COLUMN(C733))</f>
        <v>0.2</v>
      </c>
      <c r="L734" s="5" cm="1">
        <f t="array" ref="L734">INDEX(products!$B$2:$E$49,MATCH($D734,products!$A$2:$A$49,0),COLUMN(D733))</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INDEX(products!$A$1:$G$49,MATCH($D735,products!$A$1:$A$49,0),MATCH(I$1,products!$A$1:$G$1,0))</f>
        <v>Lib</v>
      </c>
      <c r="J735" t="str" cm="1">
        <f t="array" ref="J735">INDEX(products!$B$2:$E$49,MATCH($D735,products!$A$2:$A$49,0),COLUMN(B734))</f>
        <v>M</v>
      </c>
      <c r="K735" s="4" cm="1">
        <f t="array" ref="K735">INDEX(products!$B$2:$E$49,MATCH($D735,products!$A$2:$A$49,0),COLUMN(C734))</f>
        <v>2.5</v>
      </c>
      <c r="L735" s="5" cm="1">
        <f t="array" ref="L735">INDEX(products!$B$2:$E$49,MATCH($D735,products!$A$2:$A$49,0),COLUMN(D734))</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f>
        <v>Alica Kift</v>
      </c>
      <c r="G736" s="2" t="str">
        <f>IF(_xlfn.XLOOKUP(C736,customers!$A$1:$A$1001,customers!$C$1:$C$1001,,0)=0,"",(_xlfn.XLOOKUP(C736,customers!$A$1:$A$1001,customers!$C$1:$C$1001,,0)))</f>
        <v/>
      </c>
      <c r="H736" s="2" t="str">
        <f>_xlfn.XLOOKUP(C736,customers!$A$1:$A$1001,customers!$G$1:$G$1001,,0)</f>
        <v>United States</v>
      </c>
      <c r="I736" t="str">
        <f>INDEX(products!$A$1:$G$49,MATCH($D736,products!$A$1:$A$49,0),MATCH(I$1,products!$A$1:$G$1,0))</f>
        <v>Rob</v>
      </c>
      <c r="J736" t="str" cm="1">
        <f t="array" ref="J736">INDEX(products!$B$2:$E$49,MATCH($D736,products!$A$2:$A$49,0),COLUMN(B735))</f>
        <v>D</v>
      </c>
      <c r="K736" s="4" cm="1">
        <f t="array" ref="K736">INDEX(products!$B$2:$E$49,MATCH($D736,products!$A$2:$A$49,0),COLUMN(C735))</f>
        <v>0.2</v>
      </c>
      <c r="L736" s="5" cm="1">
        <f t="array" ref="L736">INDEX(products!$B$2:$E$49,MATCH($D736,products!$A$2:$A$49,0),COLUMN(D735))</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INDEX(products!$A$1:$G$49,MATCH($D737,products!$A$1:$A$49,0),MATCH(I$1,products!$A$1:$G$1,0))</f>
        <v>Exc</v>
      </c>
      <c r="J737" t="str" cm="1">
        <f t="array" ref="J737">INDEX(products!$B$2:$E$49,MATCH($D737,products!$A$2:$A$49,0),COLUMN(B736))</f>
        <v>D</v>
      </c>
      <c r="K737" s="4" cm="1">
        <f t="array" ref="K737">INDEX(products!$B$2:$E$49,MATCH($D737,products!$A$2:$A$49,0),COLUMN(C736))</f>
        <v>0.2</v>
      </c>
      <c r="L737" s="5" cm="1">
        <f t="array" ref="L737">INDEX(products!$B$2:$E$49,MATCH($D737,products!$A$2:$A$49,0),COLUMN(D736))</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f>
        <v>Jarret Toye</v>
      </c>
      <c r="G738" s="2" t="str">
        <f>IF(_xlfn.XLOOKUP(C738,customers!$A$1:$A$1001,customers!$C$1:$C$1001,,0)=0,"",(_xlfn.XLOOKUP(C738,customers!$A$1:$A$1001,customers!$C$1:$C$1001,,0)))</f>
        <v>jtoyekg@pinterest.com</v>
      </c>
      <c r="H738" s="2" t="str">
        <f>_xlfn.XLOOKUP(C738,customers!$A$1:$A$1001,customers!$G$1:$G$1001,,0)</f>
        <v>Ireland</v>
      </c>
      <c r="I738" t="str">
        <f>INDEX(products!$A$1:$G$49,MATCH($D738,products!$A$1:$A$49,0),MATCH(I$1,products!$A$1:$G$1,0))</f>
        <v>Lib</v>
      </c>
      <c r="J738" t="str" cm="1">
        <f t="array" ref="J738">INDEX(products!$B$2:$E$49,MATCH($D738,products!$A$2:$A$49,0),COLUMN(B737))</f>
        <v>D</v>
      </c>
      <c r="K738" s="4" cm="1">
        <f t="array" ref="K738">INDEX(products!$B$2:$E$49,MATCH($D738,products!$A$2:$A$49,0),COLUMN(C737))</f>
        <v>1</v>
      </c>
      <c r="L738" s="5" cm="1">
        <f t="array" ref="L738">INDEX(products!$B$2:$E$49,MATCH($D738,products!$A$2:$A$49,0),COLUMN(D737))</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INDEX(products!$A$1:$G$49,MATCH($D739,products!$A$1:$A$49,0),MATCH(I$1,products!$A$1:$G$1,0))</f>
        <v>Ara</v>
      </c>
      <c r="J739" t="str" cm="1">
        <f t="array" ref="J739">INDEX(products!$B$2:$E$49,MATCH($D739,products!$A$2:$A$49,0),COLUMN(B738))</f>
        <v>M</v>
      </c>
      <c r="K739" s="4" cm="1">
        <f t="array" ref="K739">INDEX(products!$B$2:$E$49,MATCH($D739,products!$A$2:$A$49,0),COLUMN(C738))</f>
        <v>1</v>
      </c>
      <c r="L739" s="5" cm="1">
        <f t="array" ref="L739">INDEX(products!$B$2:$E$49,MATCH($D739,products!$A$2:$A$49,0),COLUMN(D738))</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INDEX(products!$A$1:$G$49,MATCH($D740,products!$A$1:$A$49,0),MATCH(I$1,products!$A$1:$G$1,0))</f>
        <v>Rob</v>
      </c>
      <c r="J740" t="str" cm="1">
        <f t="array" ref="J740">INDEX(products!$B$2:$E$49,MATCH($D740,products!$A$2:$A$49,0),COLUMN(B739))</f>
        <v>L</v>
      </c>
      <c r="K740" s="4" cm="1">
        <f t="array" ref="K740">INDEX(products!$B$2:$E$49,MATCH($D740,products!$A$2:$A$49,0),COLUMN(C739))</f>
        <v>0.2</v>
      </c>
      <c r="L740" s="5" cm="1">
        <f t="array" ref="L740">INDEX(products!$B$2:$E$49,MATCH($D740,products!$A$2:$A$49,0),COLUMN(D739))</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INDEX(products!$A$1:$G$49,MATCH($D741,products!$A$1:$A$49,0),MATCH(I$1,products!$A$1:$G$1,0))</f>
        <v>Exc</v>
      </c>
      <c r="J741" t="str" cm="1">
        <f t="array" ref="J741">INDEX(products!$B$2:$E$49,MATCH($D741,products!$A$2:$A$49,0),COLUMN(B740))</f>
        <v>D</v>
      </c>
      <c r="K741" s="4" cm="1">
        <f t="array" ref="K741">INDEX(products!$B$2:$E$49,MATCH($D741,products!$A$2:$A$49,0),COLUMN(C740))</f>
        <v>0.2</v>
      </c>
      <c r="L741" s="5" cm="1">
        <f t="array" ref="L741">INDEX(products!$B$2:$E$49,MATCH($D741,products!$A$2:$A$49,0),COLUMN(D740))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INDEX(products!$A$1:$G$49,MATCH($D742,products!$A$1:$A$49,0),MATCH(I$1,products!$A$1:$G$1,0))</f>
        <v>Rob</v>
      </c>
      <c r="J742" t="str" cm="1">
        <f t="array" ref="J742">INDEX(products!$B$2:$E$49,MATCH($D742,products!$A$2:$A$49,0),COLUMN(B741))</f>
        <v>L</v>
      </c>
      <c r="K742" s="4" cm="1">
        <f t="array" ref="K742">INDEX(products!$B$2:$E$49,MATCH($D742,products!$A$2:$A$49,0),COLUMN(C741))</f>
        <v>0.5</v>
      </c>
      <c r="L742" s="5" cm="1">
        <f t="array" ref="L742">INDEX(products!$B$2:$E$49,MATCH($D742,products!$A$2:$A$49,0),COLUMN(D741))</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INDEX(products!$A$1:$G$49,MATCH($D743,products!$A$1:$A$49,0),MATCH(I$1,products!$A$1:$G$1,0))</f>
        <v>Lib</v>
      </c>
      <c r="J743" t="str" cm="1">
        <f t="array" ref="J743">INDEX(products!$B$2:$E$49,MATCH($D743,products!$A$2:$A$49,0),COLUMN(B742))</f>
        <v>M</v>
      </c>
      <c r="K743" s="4" cm="1">
        <f t="array" ref="K743">INDEX(products!$B$2:$E$49,MATCH($D743,products!$A$2:$A$49,0),COLUMN(C742))</f>
        <v>0.2</v>
      </c>
      <c r="L743" s="5" cm="1">
        <f t="array" ref="L743">INDEX(products!$B$2:$E$49,MATCH($D743,products!$A$2:$A$49,0),COLUMN(D742))</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INDEX(products!$A$1:$G$49,MATCH($D744,products!$A$1:$A$49,0),MATCH(I$1,products!$A$1:$G$1,0))</f>
        <v>Lib</v>
      </c>
      <c r="J744" t="str" cm="1">
        <f t="array" ref="J744">INDEX(products!$B$2:$E$49,MATCH($D744,products!$A$2:$A$49,0),COLUMN(B743))</f>
        <v>M</v>
      </c>
      <c r="K744" s="4" cm="1">
        <f t="array" ref="K744">INDEX(products!$B$2:$E$49,MATCH($D744,products!$A$2:$A$49,0),COLUMN(C743))</f>
        <v>1</v>
      </c>
      <c r="L744" s="5" cm="1">
        <f t="array" ref="L744">INDEX(products!$B$2:$E$49,MATCH($D744,products!$A$2:$A$49,0),COLUMN(D743))</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INDEX(products!$A$1:$G$49,MATCH($D745,products!$A$1:$A$49,0),MATCH(I$1,products!$A$1:$G$1,0))</f>
        <v>Ara</v>
      </c>
      <c r="J745" t="str" cm="1">
        <f t="array" ref="J745">INDEX(products!$B$2:$E$49,MATCH($D745,products!$A$2:$A$49,0),COLUMN(B744))</f>
        <v>D</v>
      </c>
      <c r="K745" s="4" cm="1">
        <f t="array" ref="K745">INDEX(products!$B$2:$E$49,MATCH($D745,products!$A$2:$A$49,0),COLUMN(C744))</f>
        <v>0.5</v>
      </c>
      <c r="L745" s="5" cm="1">
        <f t="array" ref="L745">INDEX(products!$B$2:$E$49,MATCH($D745,products!$A$2:$A$49,0),COLUMN(D744))</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f>
        <v>Samuele Klaaassen</v>
      </c>
      <c r="G746" s="2" t="str">
        <f>IF(_xlfn.XLOOKUP(C746,customers!$A$1:$A$1001,customers!$C$1:$C$1001,,0)=0,"",(_xlfn.XLOOKUP(C746,customers!$A$1:$A$1001,customers!$C$1:$C$1001,,0)))</f>
        <v/>
      </c>
      <c r="H746" s="2" t="str">
        <f>_xlfn.XLOOKUP(C746,customers!$A$1:$A$1001,customers!$G$1:$G$1001,,0)</f>
        <v>United States</v>
      </c>
      <c r="I746" t="str">
        <f>INDEX(products!$A$1:$G$49,MATCH($D746,products!$A$1:$A$49,0),MATCH(I$1,products!$A$1:$G$1,0))</f>
        <v>Rob</v>
      </c>
      <c r="J746" t="str" cm="1">
        <f t="array" ref="J746">INDEX(products!$B$2:$E$49,MATCH($D746,products!$A$2:$A$49,0),COLUMN(B745))</f>
        <v>M</v>
      </c>
      <c r="K746" s="4" cm="1">
        <f t="array" ref="K746">INDEX(products!$B$2:$E$49,MATCH($D746,products!$A$2:$A$49,0),COLUMN(C745))</f>
        <v>0.2</v>
      </c>
      <c r="L746" s="5" cm="1">
        <f t="array" ref="L746">INDEX(products!$B$2:$E$49,MATCH($D746,products!$A$2:$A$49,0),COLUMN(D745))</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INDEX(products!$A$1:$G$49,MATCH($D747,products!$A$1:$A$49,0),MATCH(I$1,products!$A$1:$G$1,0))</f>
        <v>Exc</v>
      </c>
      <c r="J747" t="str" cm="1">
        <f t="array" ref="J747">INDEX(products!$B$2:$E$49,MATCH($D747,products!$A$2:$A$49,0),COLUMN(B746))</f>
        <v>D</v>
      </c>
      <c r="K747" s="4" cm="1">
        <f t="array" ref="K747">INDEX(products!$B$2:$E$49,MATCH($D747,products!$A$2:$A$49,0),COLUMN(C746))</f>
        <v>0.5</v>
      </c>
      <c r="L747" s="5" cm="1">
        <f t="array" ref="L747">INDEX(products!$B$2:$E$49,MATCH($D747,products!$A$2:$A$49,0),COLUMN(D746))</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INDEX(products!$A$1:$G$49,MATCH($D748,products!$A$1:$A$49,0),MATCH(I$1,products!$A$1:$G$1,0))</f>
        <v>Ara</v>
      </c>
      <c r="J748" t="str" cm="1">
        <f t="array" ref="J748">INDEX(products!$B$2:$E$49,MATCH($D748,products!$A$2:$A$49,0),COLUMN(B747))</f>
        <v>M</v>
      </c>
      <c r="K748" s="4" cm="1">
        <f t="array" ref="K748">INDEX(products!$B$2:$E$49,MATCH($D748,products!$A$2:$A$49,0),COLUMN(C747))</f>
        <v>1</v>
      </c>
      <c r="L748" s="5" cm="1">
        <f t="array" ref="L748">INDEX(products!$B$2:$E$49,MATCH($D748,products!$A$2:$A$49,0),COLUMN(D747))</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INDEX(products!$A$1:$G$49,MATCH($D749,products!$A$1:$A$49,0),MATCH(I$1,products!$A$1:$G$1,0))</f>
        <v>Lib</v>
      </c>
      <c r="J749" t="str" cm="1">
        <f t="array" ref="J749">INDEX(products!$B$2:$E$49,MATCH($D749,products!$A$2:$A$49,0),COLUMN(B748))</f>
        <v>M</v>
      </c>
      <c r="K749" s="4" cm="1">
        <f t="array" ref="K749">INDEX(products!$B$2:$E$49,MATCH($D749,products!$A$2:$A$49,0),COLUMN(C748))</f>
        <v>0.5</v>
      </c>
      <c r="L749" s="5" cm="1">
        <f t="array" ref="L749">INDEX(products!$B$2:$E$49,MATCH($D749,products!$A$2:$A$49,0),COLUMN(D748))</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INDEX(products!$A$1:$G$49,MATCH($D750,products!$A$1:$A$49,0),MATCH(I$1,products!$A$1:$G$1,0))</f>
        <v>Exc</v>
      </c>
      <c r="J750" t="str" cm="1">
        <f t="array" ref="J750">INDEX(products!$B$2:$E$49,MATCH($D750,products!$A$2:$A$49,0),COLUMN(B749))</f>
        <v>D</v>
      </c>
      <c r="K750" s="4" cm="1">
        <f t="array" ref="K750">INDEX(products!$B$2:$E$49,MATCH($D750,products!$A$2:$A$49,0),COLUMN(C749))</f>
        <v>0.5</v>
      </c>
      <c r="L750" s="5" cm="1">
        <f t="array" ref="L750">INDEX(products!$B$2:$E$49,MATCH($D750,products!$A$2:$A$49,0),COLUMN(D749))</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INDEX(products!$A$1:$G$49,MATCH($D751,products!$A$1:$A$49,0),MATCH(I$1,products!$A$1:$G$1,0))</f>
        <v>Rob</v>
      </c>
      <c r="J751" t="str" cm="1">
        <f t="array" ref="J751">INDEX(products!$B$2:$E$49,MATCH($D751,products!$A$2:$A$49,0),COLUMN(B750))</f>
        <v>D</v>
      </c>
      <c r="K751" s="4" cm="1">
        <f t="array" ref="K751">INDEX(products!$B$2:$E$49,MATCH($D751,products!$A$2:$A$49,0),COLUMN(C750))</f>
        <v>0.2</v>
      </c>
      <c r="L751" s="5" cm="1">
        <f t="array" ref="L751">INDEX(products!$B$2:$E$49,MATCH($D751,products!$A$2:$A$49,0),COLUMN(D750))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f>
        <v>Hazel Iacopini</v>
      </c>
      <c r="G752" s="2" t="str">
        <f>IF(_xlfn.XLOOKUP(C752,customers!$A$1:$A$1001,customers!$C$1:$C$1001,,0)=0,"",(_xlfn.XLOOKUP(C752,customers!$A$1:$A$1001,customers!$C$1:$C$1001,,0)))</f>
        <v/>
      </c>
      <c r="H752" s="2" t="str">
        <f>_xlfn.XLOOKUP(C752,customers!$A$1:$A$1001,customers!$G$1:$G$1001,,0)</f>
        <v>United States</v>
      </c>
      <c r="I752" t="str">
        <f>INDEX(products!$A$1:$G$49,MATCH($D752,products!$A$1:$A$49,0),MATCH(I$1,products!$A$1:$G$1,0))</f>
        <v>Rob</v>
      </c>
      <c r="J752" t="str" cm="1">
        <f t="array" ref="J752">INDEX(products!$B$2:$E$49,MATCH($D752,products!$A$2:$A$49,0),COLUMN(B751))</f>
        <v>M</v>
      </c>
      <c r="K752" s="4" cm="1">
        <f t="array" ref="K752">INDEX(products!$B$2:$E$49,MATCH($D752,products!$A$2:$A$49,0),COLUMN(C751))</f>
        <v>0.5</v>
      </c>
      <c r="L752" s="5" cm="1">
        <f t="array" ref="L752">INDEX(products!$B$2:$E$49,MATCH($D752,products!$A$2:$A$49,0),COLUMN(D751))</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INDEX(products!$A$1:$G$49,MATCH($D753,products!$A$1:$A$49,0),MATCH(I$1,products!$A$1:$G$1,0))</f>
        <v>Lib</v>
      </c>
      <c r="J753" t="str" cm="1">
        <f t="array" ref="J753">INDEX(products!$B$2:$E$49,MATCH($D753,products!$A$2:$A$49,0),COLUMN(B752))</f>
        <v>L</v>
      </c>
      <c r="K753" s="4" cm="1">
        <f t="array" ref="K753">INDEX(products!$B$2:$E$49,MATCH($D753,products!$A$2:$A$49,0),COLUMN(C752))</f>
        <v>0.5</v>
      </c>
      <c r="L753" s="5" cm="1">
        <f t="array" ref="L753">INDEX(products!$B$2:$E$49,MATCH($D753,products!$A$2:$A$49,0),COLUMN(D752))</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INDEX(products!$A$1:$G$49,MATCH($D754,products!$A$1:$A$49,0),MATCH(I$1,products!$A$1:$G$1,0))</f>
        <v>Exc</v>
      </c>
      <c r="J754" t="str" cm="1">
        <f t="array" ref="J754">INDEX(products!$B$2:$E$49,MATCH($D754,products!$A$2:$A$49,0),COLUMN(B753))</f>
        <v>M</v>
      </c>
      <c r="K754" s="4" cm="1">
        <f t="array" ref="K754">INDEX(products!$B$2:$E$49,MATCH($D754,products!$A$2:$A$49,0),COLUMN(C753))</f>
        <v>1</v>
      </c>
      <c r="L754" s="5" cm="1">
        <f t="array" ref="L754">INDEX(products!$B$2:$E$49,MATCH($D754,products!$A$2:$A$49,0),COLUMN(D753))</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INDEX(products!$A$1:$G$49,MATCH($D755,products!$A$1:$A$49,0),MATCH(I$1,products!$A$1:$G$1,0))</f>
        <v>Ara</v>
      </c>
      <c r="J755" t="str" cm="1">
        <f t="array" ref="J755">INDEX(products!$B$2:$E$49,MATCH($D755,products!$A$2:$A$49,0),COLUMN(B754))</f>
        <v>D</v>
      </c>
      <c r="K755" s="4" cm="1">
        <f t="array" ref="K755">INDEX(products!$B$2:$E$49,MATCH($D755,products!$A$2:$A$49,0),COLUMN(C754))</f>
        <v>0.5</v>
      </c>
      <c r="L755" s="5" cm="1">
        <f t="array" ref="L755">INDEX(products!$B$2:$E$49,MATCH($D755,products!$A$2:$A$49,0),COLUMN(D754))</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INDEX(products!$A$1:$G$49,MATCH($D756,products!$A$1:$A$49,0),MATCH(I$1,products!$A$1:$G$1,0))</f>
        <v>Ara</v>
      </c>
      <c r="J756" t="str" cm="1">
        <f t="array" ref="J756">INDEX(products!$B$2:$E$49,MATCH($D756,products!$A$2:$A$49,0),COLUMN(B755))</f>
        <v>D</v>
      </c>
      <c r="K756" s="4" cm="1">
        <f t="array" ref="K756">INDEX(products!$B$2:$E$49,MATCH($D756,products!$A$2:$A$49,0),COLUMN(C755))</f>
        <v>0.2</v>
      </c>
      <c r="L756" s="5" cm="1">
        <f t="array" ref="L756">INDEX(products!$B$2:$E$49,MATCH($D756,products!$A$2:$A$49,0),COLUMN(D755))</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INDEX(products!$A$1:$G$49,MATCH($D757,products!$A$1:$A$49,0),MATCH(I$1,products!$A$1:$G$1,0))</f>
        <v>Lib</v>
      </c>
      <c r="J757" t="str" cm="1">
        <f t="array" ref="J757">INDEX(products!$B$2:$E$49,MATCH($D757,products!$A$2:$A$49,0),COLUMN(B756))</f>
        <v>L</v>
      </c>
      <c r="K757" s="4" cm="1">
        <f t="array" ref="K757">INDEX(products!$B$2:$E$49,MATCH($D757,products!$A$2:$A$49,0),COLUMN(C756))</f>
        <v>0.2</v>
      </c>
      <c r="L757" s="5" cm="1">
        <f t="array" ref="L757">INDEX(products!$B$2:$E$49,MATCH($D757,products!$A$2:$A$49,0),COLUMN(D756))</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INDEX(products!$A$1:$G$49,MATCH($D758,products!$A$1:$A$49,0),MATCH(I$1,products!$A$1:$G$1,0))</f>
        <v>Rob</v>
      </c>
      <c r="J758" t="str" cm="1">
        <f t="array" ref="J758">INDEX(products!$B$2:$E$49,MATCH($D758,products!$A$2:$A$49,0),COLUMN(B757))</f>
        <v>D</v>
      </c>
      <c r="K758" s="4" cm="1">
        <f t="array" ref="K758">INDEX(products!$B$2:$E$49,MATCH($D758,products!$A$2:$A$49,0),COLUMN(C757))</f>
        <v>1</v>
      </c>
      <c r="L758" s="5" cm="1">
        <f t="array" ref="L758">INDEX(products!$B$2:$E$49,MATCH($D758,products!$A$2:$A$49,0),COLUMN(D757))</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INDEX(products!$A$1:$G$49,MATCH($D759,products!$A$1:$A$49,0),MATCH(I$1,products!$A$1:$G$1,0))</f>
        <v>Ara</v>
      </c>
      <c r="J759" t="str" cm="1">
        <f t="array" ref="J759">INDEX(products!$B$2:$E$49,MATCH($D759,products!$A$2:$A$49,0),COLUMN(B758))</f>
        <v>D</v>
      </c>
      <c r="K759" s="4" cm="1">
        <f t="array" ref="K759">INDEX(products!$B$2:$E$49,MATCH($D759,products!$A$2:$A$49,0),COLUMN(C758))</f>
        <v>0.5</v>
      </c>
      <c r="L759" s="5" cm="1">
        <f t="array" ref="L759">INDEX(products!$B$2:$E$49,MATCH($D759,products!$A$2:$A$49,0),COLUMN(D758))</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INDEX(products!$A$1:$G$49,MATCH($D760,products!$A$1:$A$49,0),MATCH(I$1,products!$A$1:$G$1,0))</f>
        <v>Rob</v>
      </c>
      <c r="J760" t="str" cm="1">
        <f t="array" ref="J760">INDEX(products!$B$2:$E$49,MATCH($D760,products!$A$2:$A$49,0),COLUMN(B759))</f>
        <v>D</v>
      </c>
      <c r="K760" s="4" cm="1">
        <f t="array" ref="K760">INDEX(products!$B$2:$E$49,MATCH($D760,products!$A$2:$A$49,0),COLUMN(C759))</f>
        <v>1</v>
      </c>
      <c r="L760" s="5" cm="1">
        <f t="array" ref="L760">INDEX(products!$B$2:$E$49,MATCH($D760,products!$A$2:$A$49,0),COLUMN(D759))</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INDEX(products!$A$1:$G$49,MATCH($D761,products!$A$1:$A$49,0),MATCH(I$1,products!$A$1:$G$1,0))</f>
        <v>Lib</v>
      </c>
      <c r="J761" t="str" cm="1">
        <f t="array" ref="J761">INDEX(products!$B$2:$E$49,MATCH($D761,products!$A$2:$A$49,0),COLUMN(B760))</f>
        <v>D</v>
      </c>
      <c r="K761" s="4" cm="1">
        <f t="array" ref="K761">INDEX(products!$B$2:$E$49,MATCH($D761,products!$A$2:$A$49,0),COLUMN(C760))</f>
        <v>2.5</v>
      </c>
      <c r="L761" s="5" cm="1">
        <f t="array" ref="L761">INDEX(products!$B$2:$E$49,MATCH($D761,products!$A$2:$A$49,0),COLUMN(D760))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INDEX(products!$A$1:$G$49,MATCH($D762,products!$A$1:$A$49,0),MATCH(I$1,products!$A$1:$G$1,0))</f>
        <v>Exc</v>
      </c>
      <c r="J762" t="str" cm="1">
        <f t="array" ref="J762">INDEX(products!$B$2:$E$49,MATCH($D762,products!$A$2:$A$49,0),COLUMN(B761))</f>
        <v>L</v>
      </c>
      <c r="K762" s="4" cm="1">
        <f t="array" ref="K762">INDEX(products!$B$2:$E$49,MATCH($D762,products!$A$2:$A$49,0),COLUMN(C761))</f>
        <v>0.5</v>
      </c>
      <c r="L762" s="5" cm="1">
        <f t="array" ref="L762">INDEX(products!$B$2:$E$49,MATCH($D762,products!$A$2:$A$49,0),COLUMN(D761))</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INDEX(products!$A$1:$G$49,MATCH($D763,products!$A$1:$A$49,0),MATCH(I$1,products!$A$1:$G$1,0))</f>
        <v>Exc</v>
      </c>
      <c r="J763" t="str" cm="1">
        <f t="array" ref="J763">INDEX(products!$B$2:$E$49,MATCH($D763,products!$A$2:$A$49,0),COLUMN(B762))</f>
        <v>L</v>
      </c>
      <c r="K763" s="4" cm="1">
        <f t="array" ref="K763">INDEX(products!$B$2:$E$49,MATCH($D763,products!$A$2:$A$49,0),COLUMN(C762))</f>
        <v>1</v>
      </c>
      <c r="L763" s="5" cm="1">
        <f t="array" ref="L763">INDEX(products!$B$2:$E$49,MATCH($D763,products!$A$2:$A$49,0),COLUMN(D762))</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INDEX(products!$A$1:$G$49,MATCH($D764,products!$A$1:$A$49,0),MATCH(I$1,products!$A$1:$G$1,0))</f>
        <v>Lib</v>
      </c>
      <c r="J764" t="str" cm="1">
        <f t="array" ref="J764">INDEX(products!$B$2:$E$49,MATCH($D764,products!$A$2:$A$49,0),COLUMN(B763))</f>
        <v>M</v>
      </c>
      <c r="K764" s="4" cm="1">
        <f t="array" ref="K764">INDEX(products!$B$2:$E$49,MATCH($D764,products!$A$2:$A$49,0),COLUMN(C763))</f>
        <v>0.5</v>
      </c>
      <c r="L764" s="5" cm="1">
        <f t="array" ref="L764">INDEX(products!$B$2:$E$49,MATCH($D764,products!$A$2:$A$49,0),COLUMN(D763))</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f>
        <v>Sarajane Potter</v>
      </c>
      <c r="G765" s="2" t="str">
        <f>IF(_xlfn.XLOOKUP(C765,customers!$A$1:$A$1001,customers!$C$1:$C$1001,,0)=0,"",(_xlfn.XLOOKUP(C765,customers!$A$1:$A$1001,customers!$C$1:$C$1001,,0)))</f>
        <v/>
      </c>
      <c r="H765" s="2" t="str">
        <f>_xlfn.XLOOKUP(C765,customers!$A$1:$A$1001,customers!$G$1:$G$1001,,0)</f>
        <v>United States</v>
      </c>
      <c r="I765" t="str">
        <f>INDEX(products!$A$1:$G$49,MATCH($D765,products!$A$1:$A$49,0),MATCH(I$1,products!$A$1:$G$1,0))</f>
        <v>Ara</v>
      </c>
      <c r="J765" t="str" cm="1">
        <f t="array" ref="J765">INDEX(products!$B$2:$E$49,MATCH($D765,products!$A$2:$A$49,0),COLUMN(B764))</f>
        <v>L</v>
      </c>
      <c r="K765" s="4" cm="1">
        <f t="array" ref="K765">INDEX(products!$B$2:$E$49,MATCH($D765,products!$A$2:$A$49,0),COLUMN(C764))</f>
        <v>0.5</v>
      </c>
      <c r="L765" s="5" cm="1">
        <f t="array" ref="L765">INDEX(products!$B$2:$E$49,MATCH($D765,products!$A$2:$A$49,0),COLUMN(D764))</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INDEX(products!$A$1:$G$49,MATCH($D766,products!$A$1:$A$49,0),MATCH(I$1,products!$A$1:$G$1,0))</f>
        <v>Ara</v>
      </c>
      <c r="J766" t="str" cm="1">
        <f t="array" ref="J766">INDEX(products!$B$2:$E$49,MATCH($D766,products!$A$2:$A$49,0),COLUMN(B765))</f>
        <v>L</v>
      </c>
      <c r="K766" s="4" cm="1">
        <f t="array" ref="K766">INDEX(products!$B$2:$E$49,MATCH($D766,products!$A$2:$A$49,0),COLUMN(C765))</f>
        <v>2.5</v>
      </c>
      <c r="L766" s="5" cm="1">
        <f t="array" ref="L766">INDEX(products!$B$2:$E$49,MATCH($D766,products!$A$2:$A$49,0),COLUMN(D765))</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INDEX(products!$A$1:$G$49,MATCH($D767,products!$A$1:$A$49,0),MATCH(I$1,products!$A$1:$G$1,0))</f>
        <v>Rob</v>
      </c>
      <c r="J767" t="str" cm="1">
        <f t="array" ref="J767">INDEX(products!$B$2:$E$49,MATCH($D767,products!$A$2:$A$49,0),COLUMN(B766))</f>
        <v>M</v>
      </c>
      <c r="K767" s="4" cm="1">
        <f t="array" ref="K767">INDEX(products!$B$2:$E$49,MATCH($D767,products!$A$2:$A$49,0),COLUMN(C766))</f>
        <v>1</v>
      </c>
      <c r="L767" s="5" cm="1">
        <f t="array" ref="L767">INDEX(products!$B$2:$E$49,MATCH($D767,products!$A$2:$A$49,0),COLUMN(D766))</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INDEX(products!$A$1:$G$49,MATCH($D768,products!$A$1:$A$49,0),MATCH(I$1,products!$A$1:$G$1,0))</f>
        <v>Ara</v>
      </c>
      <c r="J768" t="str" cm="1">
        <f t="array" ref="J768">INDEX(products!$B$2:$E$49,MATCH($D768,products!$A$2:$A$49,0),COLUMN(B767))</f>
        <v>L</v>
      </c>
      <c r="K768" s="4" cm="1">
        <f t="array" ref="K768">INDEX(products!$B$2:$E$49,MATCH($D768,products!$A$2:$A$49,0),COLUMN(C767))</f>
        <v>0.5</v>
      </c>
      <c r="L768" s="5" cm="1">
        <f t="array" ref="L768">INDEX(products!$B$2:$E$49,MATCH($D768,products!$A$2:$A$49,0),COLUMN(D767))</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INDEX(products!$A$1:$G$49,MATCH($D769,products!$A$1:$A$49,0),MATCH(I$1,products!$A$1:$G$1,0))</f>
        <v>Ara</v>
      </c>
      <c r="J769" t="str" cm="1">
        <f t="array" ref="J769">INDEX(products!$B$2:$E$49,MATCH($D769,products!$A$2:$A$49,0),COLUMN(B768))</f>
        <v>L</v>
      </c>
      <c r="K769" s="4" cm="1">
        <f t="array" ref="K769">INDEX(products!$B$2:$E$49,MATCH($D769,products!$A$2:$A$49,0),COLUMN(C768))</f>
        <v>2.5</v>
      </c>
      <c r="L769" s="5" cm="1">
        <f t="array" ref="L769">INDEX(products!$B$2:$E$49,MATCH($D769,products!$A$2:$A$49,0),COLUMN(D768))</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INDEX(products!$A$1:$G$49,MATCH($D770,products!$A$1:$A$49,0),MATCH(I$1,products!$A$1:$G$1,0))</f>
        <v>Rob</v>
      </c>
      <c r="J770" t="str" cm="1">
        <f t="array" ref="J770">INDEX(products!$B$2:$E$49,MATCH($D770,products!$A$2:$A$49,0),COLUMN(B769))</f>
        <v>L</v>
      </c>
      <c r="K770" s="4" cm="1">
        <f t="array" ref="K770">INDEX(products!$B$2:$E$49,MATCH($D770,products!$A$2:$A$49,0),COLUMN(C769))</f>
        <v>1</v>
      </c>
      <c r="L770" s="5" cm="1">
        <f t="array" ref="L770">INDEX(products!$B$2:$E$49,MATCH($D770,products!$A$2:$A$49,0),COLUMN(D769))</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INDEX(products!$A$1:$G$49,MATCH($D771,products!$A$1:$A$49,0),MATCH(I$1,products!$A$1:$G$1,0))</f>
        <v>Rob</v>
      </c>
      <c r="J771" t="str" cm="1">
        <f t="array" ref="J771">INDEX(products!$B$2:$E$49,MATCH($D771,products!$A$2:$A$49,0),COLUMN(B770))</f>
        <v>M</v>
      </c>
      <c r="K771" s="4" cm="1">
        <f t="array" ref="K771">INDEX(products!$B$2:$E$49,MATCH($D771,products!$A$2:$A$49,0),COLUMN(C770))</f>
        <v>2.5</v>
      </c>
      <c r="L771" s="5" cm="1">
        <f t="array" ref="L771">INDEX(products!$B$2:$E$49,MATCH($D771,products!$A$2:$A$49,0),COLUMN(D770))</f>
        <v>22.884999999999998</v>
      </c>
      <c r="M771" s="5">
        <f t="shared" ref="M771:M834" si="36">E771*L771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INDEX(products!$A$1:$G$49,MATCH($D772,products!$A$1:$A$49,0),MATCH(I$1,products!$A$1:$G$1,0))</f>
        <v>Ara</v>
      </c>
      <c r="J772" t="str" cm="1">
        <f t="array" ref="J772">INDEX(products!$B$2:$E$49,MATCH($D772,products!$A$2:$A$49,0),COLUMN(B771))</f>
        <v>D</v>
      </c>
      <c r="K772" s="4" cm="1">
        <f t="array" ref="K772">INDEX(products!$B$2:$E$49,MATCH($D772,products!$A$2:$A$49,0),COLUMN(C771))</f>
        <v>1</v>
      </c>
      <c r="L772" s="5" cm="1">
        <f t="array" ref="L772">INDEX(products!$B$2:$E$49,MATCH($D772,products!$A$2:$A$49,0),COLUMN(D771))</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INDEX(products!$A$1:$G$49,MATCH($D773,products!$A$1:$A$49,0),MATCH(I$1,products!$A$1:$G$1,0))</f>
        <v>Rob</v>
      </c>
      <c r="J773" t="str" cm="1">
        <f t="array" ref="J773">INDEX(products!$B$2:$E$49,MATCH($D773,products!$A$2:$A$49,0),COLUMN(B772))</f>
        <v>L</v>
      </c>
      <c r="K773" s="4" cm="1">
        <f t="array" ref="K773">INDEX(products!$B$2:$E$49,MATCH($D773,products!$A$2:$A$49,0),COLUMN(C772))</f>
        <v>0.5</v>
      </c>
      <c r="L773" s="5" cm="1">
        <f t="array" ref="L773">INDEX(products!$B$2:$E$49,MATCH($D773,products!$A$2:$A$49,0),COLUMN(D772))</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f>
        <v>Mellisa Mebes</v>
      </c>
      <c r="G774" s="2" t="str">
        <f>IF(_xlfn.XLOOKUP(C774,customers!$A$1:$A$1001,customers!$C$1:$C$1001,,0)=0,"",(_xlfn.XLOOKUP(C774,customers!$A$1:$A$1001,customers!$C$1:$C$1001,,0)))</f>
        <v/>
      </c>
      <c r="H774" s="2" t="str">
        <f>_xlfn.XLOOKUP(C774,customers!$A$1:$A$1001,customers!$G$1:$G$1001,,0)</f>
        <v>United States</v>
      </c>
      <c r="I774" t="str">
        <f>INDEX(products!$A$1:$G$49,MATCH($D774,products!$A$1:$A$49,0),MATCH(I$1,products!$A$1:$G$1,0))</f>
        <v>Exc</v>
      </c>
      <c r="J774" t="str" cm="1">
        <f t="array" ref="J774">INDEX(products!$B$2:$E$49,MATCH($D774,products!$A$2:$A$49,0),COLUMN(B773))</f>
        <v>M</v>
      </c>
      <c r="K774" s="4" cm="1">
        <f t="array" ref="K774">INDEX(products!$B$2:$E$49,MATCH($D774,products!$A$2:$A$49,0),COLUMN(C773))</f>
        <v>1</v>
      </c>
      <c r="L774" s="5" cm="1">
        <f t="array" ref="L774">INDEX(products!$B$2:$E$49,MATCH($D774,products!$A$2:$A$49,0),COLUMN(D773))</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INDEX(products!$A$1:$G$49,MATCH($D775,products!$A$1:$A$49,0),MATCH(I$1,products!$A$1:$G$1,0))</f>
        <v>Lib</v>
      </c>
      <c r="J775" t="str" cm="1">
        <f t="array" ref="J775">INDEX(products!$B$2:$E$49,MATCH($D775,products!$A$2:$A$49,0),COLUMN(B774))</f>
        <v>M</v>
      </c>
      <c r="K775" s="4" cm="1">
        <f t="array" ref="K775">INDEX(products!$B$2:$E$49,MATCH($D775,products!$A$2:$A$49,0),COLUMN(C774))</f>
        <v>0.2</v>
      </c>
      <c r="L775" s="5" cm="1">
        <f t="array" ref="L775">INDEX(products!$B$2:$E$49,MATCH($D775,products!$A$2:$A$49,0),COLUMN(D774))</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f>
        <v>Dorette Hinemoor</v>
      </c>
      <c r="G776" s="2" t="str">
        <f>IF(_xlfn.XLOOKUP(C776,customers!$A$1:$A$1001,customers!$C$1:$C$1001,,0)=0,"",(_xlfn.XLOOKUP(C776,customers!$A$1:$A$1001,customers!$C$1:$C$1001,,0)))</f>
        <v/>
      </c>
      <c r="H776" s="2" t="str">
        <f>_xlfn.XLOOKUP(C776,customers!$A$1:$A$1001,customers!$G$1:$G$1001,,0)</f>
        <v>United States</v>
      </c>
      <c r="I776" t="str">
        <f>INDEX(products!$A$1:$G$49,MATCH($D776,products!$A$1:$A$49,0),MATCH(I$1,products!$A$1:$G$1,0))</f>
        <v>Rob</v>
      </c>
      <c r="J776" t="str" cm="1">
        <f t="array" ref="J776">INDEX(products!$B$2:$E$49,MATCH($D776,products!$A$2:$A$49,0),COLUMN(B775))</f>
        <v>M</v>
      </c>
      <c r="K776" s="4" cm="1">
        <f t="array" ref="K776">INDEX(products!$B$2:$E$49,MATCH($D776,products!$A$2:$A$49,0),COLUMN(C775))</f>
        <v>1</v>
      </c>
      <c r="L776" s="5" cm="1">
        <f t="array" ref="L776">INDEX(products!$B$2:$E$49,MATCH($D776,products!$A$2:$A$49,0),COLUMN(D775))</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INDEX(products!$A$1:$G$49,MATCH($D777,products!$A$1:$A$49,0),MATCH(I$1,products!$A$1:$G$1,0))</f>
        <v>Exc</v>
      </c>
      <c r="J777" t="str" cm="1">
        <f t="array" ref="J777">INDEX(products!$B$2:$E$49,MATCH($D777,products!$A$2:$A$49,0),COLUMN(B776))</f>
        <v>L</v>
      </c>
      <c r="K777" s="4" cm="1">
        <f t="array" ref="K777">INDEX(products!$B$2:$E$49,MATCH($D777,products!$A$2:$A$49,0),COLUMN(C776))</f>
        <v>0.5</v>
      </c>
      <c r="L777" s="5" cm="1">
        <f t="array" ref="L777">INDEX(products!$B$2:$E$49,MATCH($D777,products!$A$2:$A$49,0),COLUMN(D776))</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INDEX(products!$A$1:$G$49,MATCH($D778,products!$A$1:$A$49,0),MATCH(I$1,products!$A$1:$G$1,0))</f>
        <v>Ara</v>
      </c>
      <c r="J778" t="str" cm="1">
        <f t="array" ref="J778">INDEX(products!$B$2:$E$49,MATCH($D778,products!$A$2:$A$49,0),COLUMN(B777))</f>
        <v>M</v>
      </c>
      <c r="K778" s="4" cm="1">
        <f t="array" ref="K778">INDEX(products!$B$2:$E$49,MATCH($D778,products!$A$2:$A$49,0),COLUMN(C777))</f>
        <v>0.5</v>
      </c>
      <c r="L778" s="5" cm="1">
        <f t="array" ref="L778">INDEX(products!$B$2:$E$49,MATCH($D778,products!$A$2:$A$49,0),COLUMN(D777))</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INDEX(products!$A$1:$G$49,MATCH($D779,products!$A$1:$A$49,0),MATCH(I$1,products!$A$1:$G$1,0))</f>
        <v>Ara</v>
      </c>
      <c r="J779" t="str" cm="1">
        <f t="array" ref="J779">INDEX(products!$B$2:$E$49,MATCH($D779,products!$A$2:$A$49,0),COLUMN(B778))</f>
        <v>L</v>
      </c>
      <c r="K779" s="4" cm="1">
        <f t="array" ref="K779">INDEX(products!$B$2:$E$49,MATCH($D779,products!$A$2:$A$49,0),COLUMN(C778))</f>
        <v>2.5</v>
      </c>
      <c r="L779" s="5" cm="1">
        <f t="array" ref="L779">INDEX(products!$B$2:$E$49,MATCH($D779,products!$A$2:$A$49,0),COLUMN(D778))</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INDEX(products!$A$1:$G$49,MATCH($D780,products!$A$1:$A$49,0),MATCH(I$1,products!$A$1:$G$1,0))</f>
        <v>Lib</v>
      </c>
      <c r="J780" t="str" cm="1">
        <f t="array" ref="J780">INDEX(products!$B$2:$E$49,MATCH($D780,products!$A$2:$A$49,0),COLUMN(B779))</f>
        <v>L</v>
      </c>
      <c r="K780" s="4" cm="1">
        <f t="array" ref="K780">INDEX(products!$B$2:$E$49,MATCH($D780,products!$A$2:$A$49,0),COLUMN(C779))</f>
        <v>0.5</v>
      </c>
      <c r="L780" s="5" cm="1">
        <f t="array" ref="L780">INDEX(products!$B$2:$E$49,MATCH($D780,products!$A$2:$A$49,0),COLUMN(D779))</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INDEX(products!$A$1:$G$49,MATCH($D781,products!$A$1:$A$49,0),MATCH(I$1,products!$A$1:$G$1,0))</f>
        <v>Lib</v>
      </c>
      <c r="J781" t="str" cm="1">
        <f t="array" ref="J781">INDEX(products!$B$2:$E$49,MATCH($D781,products!$A$2:$A$49,0),COLUMN(B780))</f>
        <v>D</v>
      </c>
      <c r="K781" s="4" cm="1">
        <f t="array" ref="K781">INDEX(products!$B$2:$E$49,MATCH($D781,products!$A$2:$A$49,0),COLUMN(C780))</f>
        <v>1</v>
      </c>
      <c r="L781" s="5" cm="1">
        <f t="array" ref="L781">INDEX(products!$B$2:$E$49,MATCH($D781,products!$A$2:$A$49,0),COLUMN(D780))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f>
        <v>Verne Dunkerley</v>
      </c>
      <c r="G782" s="2" t="str">
        <f>IF(_xlfn.XLOOKUP(C782,customers!$A$1:$A$1001,customers!$C$1:$C$1001,,0)=0,"",(_xlfn.XLOOKUP(C782,customers!$A$1:$A$1001,customers!$C$1:$C$1001,,0)))</f>
        <v/>
      </c>
      <c r="H782" s="2" t="str">
        <f>_xlfn.XLOOKUP(C782,customers!$A$1:$A$1001,customers!$G$1:$G$1001,,0)</f>
        <v>United States</v>
      </c>
      <c r="I782" t="str">
        <f>INDEX(products!$A$1:$G$49,MATCH($D782,products!$A$1:$A$49,0),MATCH(I$1,products!$A$1:$G$1,0))</f>
        <v>Exc</v>
      </c>
      <c r="J782" t="str" cm="1">
        <f t="array" ref="J782">INDEX(products!$B$2:$E$49,MATCH($D782,products!$A$2:$A$49,0),COLUMN(B781))</f>
        <v>M</v>
      </c>
      <c r="K782" s="4" cm="1">
        <f t="array" ref="K782">INDEX(products!$B$2:$E$49,MATCH($D782,products!$A$2:$A$49,0),COLUMN(C781))</f>
        <v>1</v>
      </c>
      <c r="L782" s="5" cm="1">
        <f t="array" ref="L782">INDEX(products!$B$2:$E$49,MATCH($D782,products!$A$2:$A$49,0),COLUMN(D781))</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INDEX(products!$A$1:$G$49,MATCH($D783,products!$A$1:$A$49,0),MATCH(I$1,products!$A$1:$G$1,0))</f>
        <v>Lib</v>
      </c>
      <c r="J783" t="str" cm="1">
        <f t="array" ref="J783">INDEX(products!$B$2:$E$49,MATCH($D783,products!$A$2:$A$49,0),COLUMN(B782))</f>
        <v>L</v>
      </c>
      <c r="K783" s="4" cm="1">
        <f t="array" ref="K783">INDEX(products!$B$2:$E$49,MATCH($D783,products!$A$2:$A$49,0),COLUMN(C782))</f>
        <v>2.5</v>
      </c>
      <c r="L783" s="5" cm="1">
        <f t="array" ref="L783">INDEX(products!$B$2:$E$49,MATCH($D783,products!$A$2:$A$49,0),COLUMN(D782))</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INDEX(products!$A$1:$G$49,MATCH($D784,products!$A$1:$A$49,0),MATCH(I$1,products!$A$1:$G$1,0))</f>
        <v>Exc</v>
      </c>
      <c r="J784" t="str" cm="1">
        <f t="array" ref="J784">INDEX(products!$B$2:$E$49,MATCH($D784,products!$A$2:$A$49,0),COLUMN(B783))</f>
        <v>L</v>
      </c>
      <c r="K784" s="4" cm="1">
        <f t="array" ref="K784">INDEX(products!$B$2:$E$49,MATCH($D784,products!$A$2:$A$49,0),COLUMN(C783))</f>
        <v>0.2</v>
      </c>
      <c r="L784" s="5" cm="1">
        <f t="array" ref="L784">INDEX(products!$B$2:$E$49,MATCH($D784,products!$A$2:$A$49,0),COLUMN(D783))</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INDEX(products!$A$1:$G$49,MATCH($D785,products!$A$1:$A$49,0),MATCH(I$1,products!$A$1:$G$1,0))</f>
        <v>Lib</v>
      </c>
      <c r="J785" t="str" cm="1">
        <f t="array" ref="J785">INDEX(products!$B$2:$E$49,MATCH($D785,products!$A$2:$A$49,0),COLUMN(B784))</f>
        <v>M</v>
      </c>
      <c r="K785" s="4" cm="1">
        <f t="array" ref="K785">INDEX(products!$B$2:$E$49,MATCH($D785,products!$A$2:$A$49,0),COLUMN(C784))</f>
        <v>0.5</v>
      </c>
      <c r="L785" s="5" cm="1">
        <f t="array" ref="L785">INDEX(products!$B$2:$E$49,MATCH($D785,products!$A$2:$A$49,0),COLUMN(D784))</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INDEX(products!$A$1:$G$49,MATCH($D786,products!$A$1:$A$49,0),MATCH(I$1,products!$A$1:$G$1,0))</f>
        <v>Lib</v>
      </c>
      <c r="J786" t="str" cm="1">
        <f t="array" ref="J786">INDEX(products!$B$2:$E$49,MATCH($D786,products!$A$2:$A$49,0),COLUMN(B785))</f>
        <v>L</v>
      </c>
      <c r="K786" s="4" cm="1">
        <f t="array" ref="K786">INDEX(products!$B$2:$E$49,MATCH($D786,products!$A$2:$A$49,0),COLUMN(C785))</f>
        <v>1</v>
      </c>
      <c r="L786" s="5" cm="1">
        <f t="array" ref="L786">INDEX(products!$B$2:$E$49,MATCH($D786,products!$A$2:$A$49,0),COLUMN(D785))</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INDEX(products!$A$1:$G$49,MATCH($D787,products!$A$1:$A$49,0),MATCH(I$1,products!$A$1:$G$1,0))</f>
        <v>Ara</v>
      </c>
      <c r="J787" t="str" cm="1">
        <f t="array" ref="J787">INDEX(products!$B$2:$E$49,MATCH($D787,products!$A$2:$A$49,0),COLUMN(B786))</f>
        <v>D</v>
      </c>
      <c r="K787" s="4" cm="1">
        <f t="array" ref="K787">INDEX(products!$B$2:$E$49,MATCH($D787,products!$A$2:$A$49,0),COLUMN(C786))</f>
        <v>2.5</v>
      </c>
      <c r="L787" s="5" cm="1">
        <f t="array" ref="L787">INDEX(products!$B$2:$E$49,MATCH($D787,products!$A$2:$A$49,0),COLUMN(D786))</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INDEX(products!$A$1:$G$49,MATCH($D788,products!$A$1:$A$49,0),MATCH(I$1,products!$A$1:$G$1,0))</f>
        <v>Exc</v>
      </c>
      <c r="J788" t="str" cm="1">
        <f t="array" ref="J788">INDEX(products!$B$2:$E$49,MATCH($D788,products!$A$2:$A$49,0),COLUMN(B787))</f>
        <v>D</v>
      </c>
      <c r="K788" s="4" cm="1">
        <f t="array" ref="K788">INDEX(products!$B$2:$E$49,MATCH($D788,products!$A$2:$A$49,0),COLUMN(C787))</f>
        <v>2.5</v>
      </c>
      <c r="L788" s="5" cm="1">
        <f t="array" ref="L788">INDEX(products!$B$2:$E$49,MATCH($D788,products!$A$2:$A$49,0),COLUMN(D787))</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f>
        <v>Beryl Osborn</v>
      </c>
      <c r="G789" s="2" t="str">
        <f>IF(_xlfn.XLOOKUP(C789,customers!$A$1:$A$1001,customers!$C$1:$C$1001,,0)=0,"",(_xlfn.XLOOKUP(C789,customers!$A$1:$A$1001,customers!$C$1:$C$1001,,0)))</f>
        <v/>
      </c>
      <c r="H789" s="2" t="str">
        <f>_xlfn.XLOOKUP(C789,customers!$A$1:$A$1001,customers!$G$1:$G$1001,,0)</f>
        <v>United States</v>
      </c>
      <c r="I789" t="str">
        <f>INDEX(products!$A$1:$G$49,MATCH($D789,products!$A$1:$A$49,0),MATCH(I$1,products!$A$1:$G$1,0))</f>
        <v>Exc</v>
      </c>
      <c r="J789" t="str" cm="1">
        <f t="array" ref="J789">INDEX(products!$B$2:$E$49,MATCH($D789,products!$A$2:$A$49,0),COLUMN(B788))</f>
        <v>M</v>
      </c>
      <c r="K789" s="4" cm="1">
        <f t="array" ref="K789">INDEX(products!$B$2:$E$49,MATCH($D789,products!$A$2:$A$49,0),COLUMN(C788))</f>
        <v>1</v>
      </c>
      <c r="L789" s="5" cm="1">
        <f t="array" ref="L789">INDEX(products!$B$2:$E$49,MATCH($D789,products!$A$2:$A$49,0),COLUMN(D788))</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INDEX(products!$A$1:$G$49,MATCH($D790,products!$A$1:$A$49,0),MATCH(I$1,products!$A$1:$G$1,0))</f>
        <v>Rob</v>
      </c>
      <c r="J790" t="str" cm="1">
        <f t="array" ref="J790">INDEX(products!$B$2:$E$49,MATCH($D790,products!$A$2:$A$49,0),COLUMN(B789))</f>
        <v>M</v>
      </c>
      <c r="K790" s="4" cm="1">
        <f t="array" ref="K790">INDEX(products!$B$2:$E$49,MATCH($D790,products!$A$2:$A$49,0),COLUMN(C789))</f>
        <v>2.5</v>
      </c>
      <c r="L790" s="5" cm="1">
        <f t="array" ref="L790">INDEX(products!$B$2:$E$49,MATCH($D790,products!$A$2:$A$49,0),COLUMN(D789))</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INDEX(products!$A$1:$G$49,MATCH($D791,products!$A$1:$A$49,0),MATCH(I$1,products!$A$1:$G$1,0))</f>
        <v>Ara</v>
      </c>
      <c r="J791" t="str" cm="1">
        <f t="array" ref="J791">INDEX(products!$B$2:$E$49,MATCH($D791,products!$A$2:$A$49,0),COLUMN(B790))</f>
        <v>L</v>
      </c>
      <c r="K791" s="4" cm="1">
        <f t="array" ref="K791">INDEX(products!$B$2:$E$49,MATCH($D791,products!$A$2:$A$49,0),COLUMN(C790))</f>
        <v>1</v>
      </c>
      <c r="L791" s="5" cm="1">
        <f t="array" ref="L791">INDEX(products!$B$2:$E$49,MATCH($D791,products!$A$2:$A$49,0),COLUMN(D790))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INDEX(products!$A$1:$G$49,MATCH($D792,products!$A$1:$A$49,0),MATCH(I$1,products!$A$1:$G$1,0))</f>
        <v>Ara</v>
      </c>
      <c r="J792" t="str" cm="1">
        <f t="array" ref="J792">INDEX(products!$B$2:$E$49,MATCH($D792,products!$A$2:$A$49,0),COLUMN(B791))</f>
        <v>L</v>
      </c>
      <c r="K792" s="4" cm="1">
        <f t="array" ref="K792">INDEX(products!$B$2:$E$49,MATCH($D792,products!$A$2:$A$49,0),COLUMN(C791))</f>
        <v>0.5</v>
      </c>
      <c r="L792" s="5" cm="1">
        <f t="array" ref="L792">INDEX(products!$B$2:$E$49,MATCH($D792,products!$A$2:$A$49,0),COLUMN(D791))</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INDEX(products!$A$1:$G$49,MATCH($D793,products!$A$1:$A$49,0),MATCH(I$1,products!$A$1:$G$1,0))</f>
        <v>Lib</v>
      </c>
      <c r="J793" t="str" cm="1">
        <f t="array" ref="J793">INDEX(products!$B$2:$E$49,MATCH($D793,products!$A$2:$A$49,0),COLUMN(B792))</f>
        <v>L</v>
      </c>
      <c r="K793" s="4" cm="1">
        <f t="array" ref="K793">INDEX(products!$B$2:$E$49,MATCH($D793,products!$A$2:$A$49,0),COLUMN(C792))</f>
        <v>0.2</v>
      </c>
      <c r="L793" s="5" cm="1">
        <f t="array" ref="L793">INDEX(products!$B$2:$E$49,MATCH($D793,products!$A$2:$A$49,0),COLUMN(D792))</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INDEX(products!$A$1:$G$49,MATCH($D794,products!$A$1:$A$49,0),MATCH(I$1,products!$A$1:$G$1,0))</f>
        <v>Lib</v>
      </c>
      <c r="J794" t="str" cm="1">
        <f t="array" ref="J794">INDEX(products!$B$2:$E$49,MATCH($D794,products!$A$2:$A$49,0),COLUMN(B793))</f>
        <v>M</v>
      </c>
      <c r="K794" s="4" cm="1">
        <f t="array" ref="K794">INDEX(products!$B$2:$E$49,MATCH($D794,products!$A$2:$A$49,0),COLUMN(C793))</f>
        <v>0.5</v>
      </c>
      <c r="L794" s="5" cm="1">
        <f t="array" ref="L794">INDEX(products!$B$2:$E$49,MATCH($D794,products!$A$2:$A$49,0),COLUMN(D793))</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INDEX(products!$A$1:$G$49,MATCH($D795,products!$A$1:$A$49,0),MATCH(I$1,products!$A$1:$G$1,0))</f>
        <v>Rob</v>
      </c>
      <c r="J795" t="str" cm="1">
        <f t="array" ref="J795">INDEX(products!$B$2:$E$49,MATCH($D795,products!$A$2:$A$49,0),COLUMN(B794))</f>
        <v>L</v>
      </c>
      <c r="K795" s="4" cm="1">
        <f t="array" ref="K795">INDEX(products!$B$2:$E$49,MATCH($D795,products!$A$2:$A$49,0),COLUMN(C794))</f>
        <v>0.2</v>
      </c>
      <c r="L795" s="5" cm="1">
        <f t="array" ref="L795">INDEX(products!$B$2:$E$49,MATCH($D795,products!$A$2:$A$49,0),COLUMN(D794))</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INDEX(products!$A$1:$G$49,MATCH($D796,products!$A$1:$A$49,0),MATCH(I$1,products!$A$1:$G$1,0))</f>
        <v>Ara</v>
      </c>
      <c r="J796" t="str" cm="1">
        <f t="array" ref="J796">INDEX(products!$B$2:$E$49,MATCH($D796,products!$A$2:$A$49,0),COLUMN(B795))</f>
        <v>L</v>
      </c>
      <c r="K796" s="4" cm="1">
        <f t="array" ref="K796">INDEX(products!$B$2:$E$49,MATCH($D796,products!$A$2:$A$49,0),COLUMN(C795))</f>
        <v>2.5</v>
      </c>
      <c r="L796" s="5" cm="1">
        <f t="array" ref="L796">INDEX(products!$B$2:$E$49,MATCH($D796,products!$A$2:$A$49,0),COLUMN(D795))</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INDEX(products!$A$1:$G$49,MATCH($D797,products!$A$1:$A$49,0),MATCH(I$1,products!$A$1:$G$1,0))</f>
        <v>Rob</v>
      </c>
      <c r="J797" t="str" cm="1">
        <f t="array" ref="J797">INDEX(products!$B$2:$E$49,MATCH($D797,products!$A$2:$A$49,0),COLUMN(B796))</f>
        <v>L</v>
      </c>
      <c r="K797" s="4" cm="1">
        <f t="array" ref="K797">INDEX(products!$B$2:$E$49,MATCH($D797,products!$A$2:$A$49,0),COLUMN(C796))</f>
        <v>0.5</v>
      </c>
      <c r="L797" s="5" cm="1">
        <f t="array" ref="L797">INDEX(products!$B$2:$E$49,MATCH($D797,products!$A$2:$A$49,0),COLUMN(D796))</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f>
        <v>Merell Zanazzi</v>
      </c>
      <c r="G798" s="2" t="str">
        <f>IF(_xlfn.XLOOKUP(C798,customers!$A$1:$A$1001,customers!$C$1:$C$1001,,0)=0,"",(_xlfn.XLOOKUP(C798,customers!$A$1:$A$1001,customers!$C$1:$C$1001,,0)))</f>
        <v/>
      </c>
      <c r="H798" s="2" t="str">
        <f>_xlfn.XLOOKUP(C798,customers!$A$1:$A$1001,customers!$G$1:$G$1001,,0)</f>
        <v>United States</v>
      </c>
      <c r="I798" t="str">
        <f>INDEX(products!$A$1:$G$49,MATCH($D798,products!$A$1:$A$49,0),MATCH(I$1,products!$A$1:$G$1,0))</f>
        <v>Lib</v>
      </c>
      <c r="J798" t="str" cm="1">
        <f t="array" ref="J798">INDEX(products!$B$2:$E$49,MATCH($D798,products!$A$2:$A$49,0),COLUMN(B797))</f>
        <v>L</v>
      </c>
      <c r="K798" s="4" cm="1">
        <f t="array" ref="K798">INDEX(products!$B$2:$E$49,MATCH($D798,products!$A$2:$A$49,0),COLUMN(C797))</f>
        <v>0.5</v>
      </c>
      <c r="L798" s="5" cm="1">
        <f t="array" ref="L798">INDEX(products!$B$2:$E$49,MATCH($D798,products!$A$2:$A$49,0),COLUMN(D797))</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INDEX(products!$A$1:$G$49,MATCH($D799,products!$A$1:$A$49,0),MATCH(I$1,products!$A$1:$G$1,0))</f>
        <v>Ara</v>
      </c>
      <c r="J799" t="str" cm="1">
        <f t="array" ref="J799">INDEX(products!$B$2:$E$49,MATCH($D799,products!$A$2:$A$49,0),COLUMN(B798))</f>
        <v>L</v>
      </c>
      <c r="K799" s="4" cm="1">
        <f t="array" ref="K799">INDEX(products!$B$2:$E$49,MATCH($D799,products!$A$2:$A$49,0),COLUMN(C798))</f>
        <v>0.5</v>
      </c>
      <c r="L799" s="5" cm="1">
        <f t="array" ref="L799">INDEX(products!$B$2:$E$49,MATCH($D799,products!$A$2:$A$49,0),COLUMN(D798))</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INDEX(products!$A$1:$G$49,MATCH($D800,products!$A$1:$A$49,0),MATCH(I$1,products!$A$1:$G$1,0))</f>
        <v>Rob</v>
      </c>
      <c r="J800" t="str" cm="1">
        <f t="array" ref="J800">INDEX(products!$B$2:$E$49,MATCH($D800,products!$A$2:$A$49,0),COLUMN(B799))</f>
        <v>D</v>
      </c>
      <c r="K800" s="4" cm="1">
        <f t="array" ref="K800">INDEX(products!$B$2:$E$49,MATCH($D800,products!$A$2:$A$49,0),COLUMN(C799))</f>
        <v>0.2</v>
      </c>
      <c r="L800" s="5" cm="1">
        <f t="array" ref="L800">INDEX(products!$B$2:$E$49,MATCH($D800,products!$A$2:$A$49,0),COLUMN(D799))</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f>
        <v>Gonzales Cicculi</v>
      </c>
      <c r="G801" s="2" t="str">
        <f>IF(_xlfn.XLOOKUP(C801,customers!$A$1:$A$1001,customers!$C$1:$C$1001,,0)=0,"",(_xlfn.XLOOKUP(C801,customers!$A$1:$A$1001,customers!$C$1:$C$1001,,0)))</f>
        <v/>
      </c>
      <c r="H801" s="2" t="str">
        <f>_xlfn.XLOOKUP(C801,customers!$A$1:$A$1001,customers!$G$1:$G$1001,,0)</f>
        <v>United States</v>
      </c>
      <c r="I801" t="str">
        <f>INDEX(products!$A$1:$G$49,MATCH($D801,products!$A$1:$A$49,0),MATCH(I$1,products!$A$1:$G$1,0))</f>
        <v>Exc</v>
      </c>
      <c r="J801" t="str" cm="1">
        <f t="array" ref="J801">INDEX(products!$B$2:$E$49,MATCH($D801,products!$A$2:$A$49,0),COLUMN(B800))</f>
        <v>D</v>
      </c>
      <c r="K801" s="4" cm="1">
        <f t="array" ref="K801">INDEX(products!$B$2:$E$49,MATCH($D801,products!$A$2:$A$49,0),COLUMN(C800))</f>
        <v>1</v>
      </c>
      <c r="L801" s="5" cm="1">
        <f t="array" ref="L801">INDEX(products!$B$2:$E$49,MATCH($D801,products!$A$2:$A$49,0),COLUMN(D800))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f>
        <v>Man Fright</v>
      </c>
      <c r="G802" s="2" t="str">
        <f>IF(_xlfn.XLOOKUP(C802,customers!$A$1:$A$1001,customers!$C$1:$C$1001,,0)=0,"",(_xlfn.XLOOKUP(C802,customers!$A$1:$A$1001,customers!$C$1:$C$1001,,0)))</f>
        <v>mfrightm8@harvard.edu</v>
      </c>
      <c r="H802" s="2" t="str">
        <f>_xlfn.XLOOKUP(C802,customers!$A$1:$A$1001,customers!$G$1:$G$1001,,0)</f>
        <v>Ireland</v>
      </c>
      <c r="I802" t="str">
        <f>INDEX(products!$A$1:$G$49,MATCH($D802,products!$A$1:$A$49,0),MATCH(I$1,products!$A$1:$G$1,0))</f>
        <v>Rob</v>
      </c>
      <c r="J802" t="str" cm="1">
        <f t="array" ref="J802">INDEX(products!$B$2:$E$49,MATCH($D802,products!$A$2:$A$49,0),COLUMN(B801))</f>
        <v>D</v>
      </c>
      <c r="K802" s="4" cm="1">
        <f t="array" ref="K802">INDEX(products!$B$2:$E$49,MATCH($D802,products!$A$2:$A$49,0),COLUMN(C801))</f>
        <v>0.2</v>
      </c>
      <c r="L802" s="5" cm="1">
        <f t="array" ref="L802">INDEX(products!$B$2:$E$49,MATCH($D802,products!$A$2:$A$49,0),COLUMN(D801))</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INDEX(products!$A$1:$G$49,MATCH($D803,products!$A$1:$A$49,0),MATCH(I$1,products!$A$1:$G$1,0))</f>
        <v>Rob</v>
      </c>
      <c r="J803" t="str" cm="1">
        <f t="array" ref="J803">INDEX(products!$B$2:$E$49,MATCH($D803,products!$A$2:$A$49,0),COLUMN(B802))</f>
        <v>D</v>
      </c>
      <c r="K803" s="4" cm="1">
        <f t="array" ref="K803">INDEX(products!$B$2:$E$49,MATCH($D803,products!$A$2:$A$49,0),COLUMN(C802))</f>
        <v>2.5</v>
      </c>
      <c r="L803" s="5" cm="1">
        <f t="array" ref="L803">INDEX(products!$B$2:$E$49,MATCH($D803,products!$A$2:$A$49,0),COLUMN(D802))</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INDEX(products!$A$1:$G$49,MATCH($D804,products!$A$1:$A$49,0),MATCH(I$1,products!$A$1:$G$1,0))</f>
        <v>Rob</v>
      </c>
      <c r="J804" t="str" cm="1">
        <f t="array" ref="J804">INDEX(products!$B$2:$E$49,MATCH($D804,products!$A$2:$A$49,0),COLUMN(B803))</f>
        <v>D</v>
      </c>
      <c r="K804" s="4" cm="1">
        <f t="array" ref="K804">INDEX(products!$B$2:$E$49,MATCH($D804,products!$A$2:$A$49,0),COLUMN(C803))</f>
        <v>0.2</v>
      </c>
      <c r="L804" s="5" cm="1">
        <f t="array" ref="L804">INDEX(products!$B$2:$E$49,MATCH($D804,products!$A$2:$A$49,0),COLUMN(D803))</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INDEX(products!$A$1:$G$49,MATCH($D805,products!$A$1:$A$49,0),MATCH(I$1,products!$A$1:$G$1,0))</f>
        <v>Exc</v>
      </c>
      <c r="J805" t="str" cm="1">
        <f t="array" ref="J805">INDEX(products!$B$2:$E$49,MATCH($D805,products!$A$2:$A$49,0),COLUMN(B804))</f>
        <v>M</v>
      </c>
      <c r="K805" s="4" cm="1">
        <f t="array" ref="K805">INDEX(products!$B$2:$E$49,MATCH($D805,products!$A$2:$A$49,0),COLUMN(C804))</f>
        <v>2.5</v>
      </c>
      <c r="L805" s="5" cm="1">
        <f t="array" ref="L805">INDEX(products!$B$2:$E$49,MATCH($D805,products!$A$2:$A$49,0),COLUMN(D804))</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f>
        <v>Jammie Cloke</v>
      </c>
      <c r="G806" s="2" t="str">
        <f>IF(_xlfn.XLOOKUP(C806,customers!$A$1:$A$1001,customers!$C$1:$C$1001,,0)=0,"",(_xlfn.XLOOKUP(C806,customers!$A$1:$A$1001,customers!$C$1:$C$1001,,0)))</f>
        <v/>
      </c>
      <c r="H806" s="2" t="str">
        <f>_xlfn.XLOOKUP(C806,customers!$A$1:$A$1001,customers!$G$1:$G$1001,,0)</f>
        <v>United Kingdom</v>
      </c>
      <c r="I806" t="str">
        <f>INDEX(products!$A$1:$G$49,MATCH($D806,products!$A$1:$A$49,0),MATCH(I$1,products!$A$1:$G$1,0))</f>
        <v>Rob</v>
      </c>
      <c r="J806" t="str" cm="1">
        <f t="array" ref="J806">INDEX(products!$B$2:$E$49,MATCH($D806,products!$A$2:$A$49,0),COLUMN(B805))</f>
        <v>L</v>
      </c>
      <c r="K806" s="4" cm="1">
        <f t="array" ref="K806">INDEX(products!$B$2:$E$49,MATCH($D806,products!$A$2:$A$49,0),COLUMN(C805))</f>
        <v>1</v>
      </c>
      <c r="L806" s="5" cm="1">
        <f t="array" ref="L806">INDEX(products!$B$2:$E$49,MATCH($D806,products!$A$2:$A$49,0),COLUMN(D805))</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f>
        <v>Chester Clowton</v>
      </c>
      <c r="G807" s="2" t="str">
        <f>IF(_xlfn.XLOOKUP(C807,customers!$A$1:$A$1001,customers!$C$1:$C$1001,,0)=0,"",(_xlfn.XLOOKUP(C807,customers!$A$1:$A$1001,customers!$C$1:$C$1001,,0)))</f>
        <v/>
      </c>
      <c r="H807" s="2" t="str">
        <f>_xlfn.XLOOKUP(C807,customers!$A$1:$A$1001,customers!$G$1:$G$1001,,0)</f>
        <v>United States</v>
      </c>
      <c r="I807" t="str">
        <f>INDEX(products!$A$1:$G$49,MATCH($D807,products!$A$1:$A$49,0),MATCH(I$1,products!$A$1:$G$1,0))</f>
        <v>Rob</v>
      </c>
      <c r="J807" t="str" cm="1">
        <f t="array" ref="J807">INDEX(products!$B$2:$E$49,MATCH($D807,products!$A$2:$A$49,0),COLUMN(B806))</f>
        <v>M</v>
      </c>
      <c r="K807" s="4" cm="1">
        <f t="array" ref="K807">INDEX(products!$B$2:$E$49,MATCH($D807,products!$A$2:$A$49,0),COLUMN(C806))</f>
        <v>0.5</v>
      </c>
      <c r="L807" s="5" cm="1">
        <f t="array" ref="L807">INDEX(products!$B$2:$E$49,MATCH($D807,products!$A$2:$A$49,0),COLUMN(D806))</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f>
        <v>Kathleen Diable</v>
      </c>
      <c r="G808" s="2" t="str">
        <f>IF(_xlfn.XLOOKUP(C808,customers!$A$1:$A$1001,customers!$C$1:$C$1001,,0)=0,"",(_xlfn.XLOOKUP(C808,customers!$A$1:$A$1001,customers!$C$1:$C$1001,,0)))</f>
        <v/>
      </c>
      <c r="H808" s="2" t="str">
        <f>_xlfn.XLOOKUP(C808,customers!$A$1:$A$1001,customers!$G$1:$G$1001,,0)</f>
        <v>United Kingdom</v>
      </c>
      <c r="I808" t="str">
        <f>INDEX(products!$A$1:$G$49,MATCH($D808,products!$A$1:$A$49,0),MATCH(I$1,products!$A$1:$G$1,0))</f>
        <v>Lib</v>
      </c>
      <c r="J808" t="str" cm="1">
        <f t="array" ref="J808">INDEX(products!$B$2:$E$49,MATCH($D808,products!$A$2:$A$49,0),COLUMN(B807))</f>
        <v>D</v>
      </c>
      <c r="K808" s="4" cm="1">
        <f t="array" ref="K808">INDEX(products!$B$2:$E$49,MATCH($D808,products!$A$2:$A$49,0),COLUMN(C807))</f>
        <v>0.2</v>
      </c>
      <c r="L808" s="5" cm="1">
        <f t="array" ref="L808">INDEX(products!$B$2:$E$49,MATCH($D808,products!$A$2:$A$49,0),COLUMN(D807))</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INDEX(products!$A$1:$G$49,MATCH($D809,products!$A$1:$A$49,0),MATCH(I$1,products!$A$1:$G$1,0))</f>
        <v>Lib</v>
      </c>
      <c r="J809" t="str" cm="1">
        <f t="array" ref="J809">INDEX(products!$B$2:$E$49,MATCH($D809,products!$A$2:$A$49,0),COLUMN(B808))</f>
        <v>D</v>
      </c>
      <c r="K809" s="4" cm="1">
        <f t="array" ref="K809">INDEX(products!$B$2:$E$49,MATCH($D809,products!$A$2:$A$49,0),COLUMN(C808))</f>
        <v>0.5</v>
      </c>
      <c r="L809" s="5" cm="1">
        <f t="array" ref="L809">INDEX(products!$B$2:$E$49,MATCH($D809,products!$A$2:$A$49,0),COLUMN(D808))</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f>
        <v>Allis Wilmore</v>
      </c>
      <c r="G810" s="2" t="str">
        <f>IF(_xlfn.XLOOKUP(C810,customers!$A$1:$A$1001,customers!$C$1:$C$1001,,0)=0,"",(_xlfn.XLOOKUP(C810,customers!$A$1:$A$1001,customers!$C$1:$C$1001,,0)))</f>
        <v/>
      </c>
      <c r="H810" s="2" t="str">
        <f>_xlfn.XLOOKUP(C810,customers!$A$1:$A$1001,customers!$G$1:$G$1001,,0)</f>
        <v>United States</v>
      </c>
      <c r="I810" t="str">
        <f>INDEX(products!$A$1:$G$49,MATCH($D810,products!$A$1:$A$49,0),MATCH(I$1,products!$A$1:$G$1,0))</f>
        <v>Rob</v>
      </c>
      <c r="J810" t="str" cm="1">
        <f t="array" ref="J810">INDEX(products!$B$2:$E$49,MATCH($D810,products!$A$2:$A$49,0),COLUMN(B809))</f>
        <v>L</v>
      </c>
      <c r="K810" s="4" cm="1">
        <f t="array" ref="K810">INDEX(products!$B$2:$E$49,MATCH($D810,products!$A$2:$A$49,0),COLUMN(C809))</f>
        <v>2.5</v>
      </c>
      <c r="L810" s="5" cm="1">
        <f t="array" ref="L810">INDEX(products!$B$2:$E$49,MATCH($D810,products!$A$2:$A$49,0),COLUMN(D809))</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f>
        <v>Chaddie Bennie</v>
      </c>
      <c r="G811" s="2" t="str">
        <f>IF(_xlfn.XLOOKUP(C811,customers!$A$1:$A$1001,customers!$C$1:$C$1001,,0)=0,"",(_xlfn.XLOOKUP(C811,customers!$A$1:$A$1001,customers!$C$1:$C$1001,,0)))</f>
        <v/>
      </c>
      <c r="H811" s="2" t="str">
        <f>_xlfn.XLOOKUP(C811,customers!$A$1:$A$1001,customers!$G$1:$G$1001,,0)</f>
        <v>United States</v>
      </c>
      <c r="I811" t="str">
        <f>INDEX(products!$A$1:$G$49,MATCH($D811,products!$A$1:$A$49,0),MATCH(I$1,products!$A$1:$G$1,0))</f>
        <v>Rob</v>
      </c>
      <c r="J811" t="str" cm="1">
        <f t="array" ref="J811">INDEX(products!$B$2:$E$49,MATCH($D811,products!$A$2:$A$49,0),COLUMN(B810))</f>
        <v>D</v>
      </c>
      <c r="K811" s="4" cm="1">
        <f t="array" ref="K811">INDEX(products!$B$2:$E$49,MATCH($D811,products!$A$2:$A$49,0),COLUMN(C810))</f>
        <v>0.2</v>
      </c>
      <c r="L811" s="5" cm="1">
        <f t="array" ref="L811">INDEX(products!$B$2:$E$49,MATCH($D811,products!$A$2:$A$49,0),COLUMN(D810))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INDEX(products!$A$1:$G$49,MATCH($D812,products!$A$1:$A$49,0),MATCH(I$1,products!$A$1:$G$1,0))</f>
        <v>Lib</v>
      </c>
      <c r="J812" t="str" cm="1">
        <f t="array" ref="J812">INDEX(products!$B$2:$E$49,MATCH($D812,products!$A$2:$A$49,0),COLUMN(B811))</f>
        <v>L</v>
      </c>
      <c r="K812" s="4" cm="1">
        <f t="array" ref="K812">INDEX(products!$B$2:$E$49,MATCH($D812,products!$A$2:$A$49,0),COLUMN(C811))</f>
        <v>0.5</v>
      </c>
      <c r="L812" s="5" cm="1">
        <f t="array" ref="L812">INDEX(products!$B$2:$E$49,MATCH($D812,products!$A$2:$A$49,0),COLUMN(D811))</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INDEX(products!$A$1:$G$49,MATCH($D813,products!$A$1:$A$49,0),MATCH(I$1,products!$A$1:$G$1,0))</f>
        <v>Ara</v>
      </c>
      <c r="J813" t="str" cm="1">
        <f t="array" ref="J813">INDEX(products!$B$2:$E$49,MATCH($D813,products!$A$2:$A$49,0),COLUMN(B812))</f>
        <v>M</v>
      </c>
      <c r="K813" s="4" cm="1">
        <f t="array" ref="K813">INDEX(products!$B$2:$E$49,MATCH($D813,products!$A$2:$A$49,0),COLUMN(C812))</f>
        <v>1</v>
      </c>
      <c r="L813" s="5" cm="1">
        <f t="array" ref="L813">INDEX(products!$B$2:$E$49,MATCH($D813,products!$A$2:$A$49,0),COLUMN(D812))</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INDEX(products!$A$1:$G$49,MATCH($D814,products!$A$1:$A$49,0),MATCH(I$1,products!$A$1:$G$1,0))</f>
        <v>Lib</v>
      </c>
      <c r="J814" t="str" cm="1">
        <f t="array" ref="J814">INDEX(products!$B$2:$E$49,MATCH($D814,products!$A$2:$A$49,0),COLUMN(B813))</f>
        <v>D</v>
      </c>
      <c r="K814" s="4" cm="1">
        <f t="array" ref="K814">INDEX(products!$B$2:$E$49,MATCH($D814,products!$A$2:$A$49,0),COLUMN(C813))</f>
        <v>2.5</v>
      </c>
      <c r="L814" s="5" cm="1">
        <f t="array" ref="L814">INDEX(products!$B$2:$E$49,MATCH($D814,products!$A$2:$A$49,0),COLUMN(D813))</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INDEX(products!$A$1:$G$49,MATCH($D815,products!$A$1:$A$49,0),MATCH(I$1,products!$A$1:$G$1,0))</f>
        <v>Exc</v>
      </c>
      <c r="J815" t="str" cm="1">
        <f t="array" ref="J815">INDEX(products!$B$2:$E$49,MATCH($D815,products!$A$2:$A$49,0),COLUMN(B814))</f>
        <v>M</v>
      </c>
      <c r="K815" s="4" cm="1">
        <f t="array" ref="K815">INDEX(products!$B$2:$E$49,MATCH($D815,products!$A$2:$A$49,0),COLUMN(C814))</f>
        <v>2.5</v>
      </c>
      <c r="L815" s="5" cm="1">
        <f t="array" ref="L815">INDEX(products!$B$2:$E$49,MATCH($D815,products!$A$2:$A$49,0),COLUMN(D814))</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INDEX(products!$A$1:$G$49,MATCH($D816,products!$A$1:$A$49,0),MATCH(I$1,products!$A$1:$G$1,0))</f>
        <v>Exc</v>
      </c>
      <c r="J816" t="str" cm="1">
        <f t="array" ref="J816">INDEX(products!$B$2:$E$49,MATCH($D816,products!$A$2:$A$49,0),COLUMN(B815))</f>
        <v>L</v>
      </c>
      <c r="K816" s="4" cm="1">
        <f t="array" ref="K816">INDEX(products!$B$2:$E$49,MATCH($D816,products!$A$2:$A$49,0),COLUMN(C815))</f>
        <v>0.2</v>
      </c>
      <c r="L816" s="5" cm="1">
        <f t="array" ref="L816">INDEX(products!$B$2:$E$49,MATCH($D816,products!$A$2:$A$49,0),COLUMN(D815))</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INDEX(products!$A$1:$G$49,MATCH($D817,products!$A$1:$A$49,0),MATCH(I$1,products!$A$1:$G$1,0))</f>
        <v>Rob</v>
      </c>
      <c r="J817" t="str" cm="1">
        <f t="array" ref="J817">INDEX(products!$B$2:$E$49,MATCH($D817,products!$A$2:$A$49,0),COLUMN(B816))</f>
        <v>M</v>
      </c>
      <c r="K817" s="4" cm="1">
        <f t="array" ref="K817">INDEX(products!$B$2:$E$49,MATCH($D817,products!$A$2:$A$49,0),COLUMN(C816))</f>
        <v>0.5</v>
      </c>
      <c r="L817" s="5" cm="1">
        <f t="array" ref="L817">INDEX(products!$B$2:$E$49,MATCH($D817,products!$A$2:$A$49,0),COLUMN(D816))</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INDEX(products!$A$1:$G$49,MATCH($D818,products!$A$1:$A$49,0),MATCH(I$1,products!$A$1:$G$1,0))</f>
        <v>Lib</v>
      </c>
      <c r="J818" t="str" cm="1">
        <f t="array" ref="J818">INDEX(products!$B$2:$E$49,MATCH($D818,products!$A$2:$A$49,0),COLUMN(B817))</f>
        <v>L</v>
      </c>
      <c r="K818" s="4" cm="1">
        <f t="array" ref="K818">INDEX(products!$B$2:$E$49,MATCH($D818,products!$A$2:$A$49,0),COLUMN(C817))</f>
        <v>0.5</v>
      </c>
      <c r="L818" s="5" cm="1">
        <f t="array" ref="L818">INDEX(products!$B$2:$E$49,MATCH($D818,products!$A$2:$A$49,0),COLUMN(D817))</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INDEX(products!$A$1:$G$49,MATCH($D819,products!$A$1:$A$49,0),MATCH(I$1,products!$A$1:$G$1,0))</f>
        <v>Lib</v>
      </c>
      <c r="J819" t="str" cm="1">
        <f t="array" ref="J819">INDEX(products!$B$2:$E$49,MATCH($D819,products!$A$2:$A$49,0),COLUMN(B818))</f>
        <v>D</v>
      </c>
      <c r="K819" s="4" cm="1">
        <f t="array" ref="K819">INDEX(products!$B$2:$E$49,MATCH($D819,products!$A$2:$A$49,0),COLUMN(C818))</f>
        <v>0.5</v>
      </c>
      <c r="L819" s="5" cm="1">
        <f t="array" ref="L819">INDEX(products!$B$2:$E$49,MATCH($D819,products!$A$2:$A$49,0),COLUMN(D818))</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f>
        <v>Allis Wilmore</v>
      </c>
      <c r="G820" s="2" t="str">
        <f>IF(_xlfn.XLOOKUP(C820,customers!$A$1:$A$1001,customers!$C$1:$C$1001,,0)=0,"",(_xlfn.XLOOKUP(C820,customers!$A$1:$A$1001,customers!$C$1:$C$1001,,0)))</f>
        <v/>
      </c>
      <c r="H820" s="2" t="str">
        <f>_xlfn.XLOOKUP(C820,customers!$A$1:$A$1001,customers!$G$1:$G$1001,,0)</f>
        <v>United States</v>
      </c>
      <c r="I820" t="str">
        <f>INDEX(products!$A$1:$G$49,MATCH($D820,products!$A$1:$A$49,0),MATCH(I$1,products!$A$1:$G$1,0))</f>
        <v>Lib</v>
      </c>
      <c r="J820" t="str" cm="1">
        <f t="array" ref="J820">INDEX(products!$B$2:$E$49,MATCH($D820,products!$A$2:$A$49,0),COLUMN(B819))</f>
        <v>L</v>
      </c>
      <c r="K820" s="4" cm="1">
        <f t="array" ref="K820">INDEX(products!$B$2:$E$49,MATCH($D820,products!$A$2:$A$49,0),COLUMN(C819))</f>
        <v>1</v>
      </c>
      <c r="L820" s="5" cm="1">
        <f t="array" ref="L820">INDEX(products!$B$2:$E$49,MATCH($D820,products!$A$2:$A$49,0),COLUMN(D819))</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INDEX(products!$A$1:$G$49,MATCH($D821,products!$A$1:$A$49,0),MATCH(I$1,products!$A$1:$G$1,0))</f>
        <v>Lib</v>
      </c>
      <c r="J821" t="str" cm="1">
        <f t="array" ref="J821">INDEX(products!$B$2:$E$49,MATCH($D821,products!$A$2:$A$49,0),COLUMN(B820))</f>
        <v>L</v>
      </c>
      <c r="K821" s="4" cm="1">
        <f t="array" ref="K821">INDEX(products!$B$2:$E$49,MATCH($D821,products!$A$2:$A$49,0),COLUMN(C820))</f>
        <v>0.2</v>
      </c>
      <c r="L821" s="5" cm="1">
        <f t="array" ref="L821">INDEX(products!$B$2:$E$49,MATCH($D821,products!$A$2:$A$49,0),COLUMN(D820))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INDEX(products!$A$1:$G$49,MATCH($D822,products!$A$1:$A$49,0),MATCH(I$1,products!$A$1:$G$1,0))</f>
        <v>Exc</v>
      </c>
      <c r="J822" t="str" cm="1">
        <f t="array" ref="J822">INDEX(products!$B$2:$E$49,MATCH($D822,products!$A$2:$A$49,0),COLUMN(B821))</f>
        <v>M</v>
      </c>
      <c r="K822" s="4" cm="1">
        <f t="array" ref="K822">INDEX(products!$B$2:$E$49,MATCH($D822,products!$A$2:$A$49,0),COLUMN(C821))</f>
        <v>1</v>
      </c>
      <c r="L822" s="5" cm="1">
        <f t="array" ref="L822">INDEX(products!$B$2:$E$49,MATCH($D822,products!$A$2:$A$49,0),COLUMN(D821))</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INDEX(products!$A$1:$G$49,MATCH($D823,products!$A$1:$A$49,0),MATCH(I$1,products!$A$1:$G$1,0))</f>
        <v>Rob</v>
      </c>
      <c r="J823" t="str" cm="1">
        <f t="array" ref="J823">INDEX(products!$B$2:$E$49,MATCH($D823,products!$A$2:$A$49,0),COLUMN(B822))</f>
        <v>D</v>
      </c>
      <c r="K823" s="4" cm="1">
        <f t="array" ref="K823">INDEX(products!$B$2:$E$49,MATCH($D823,products!$A$2:$A$49,0),COLUMN(C822))</f>
        <v>0.5</v>
      </c>
      <c r="L823" s="5" cm="1">
        <f t="array" ref="L823">INDEX(products!$B$2:$E$49,MATCH($D823,products!$A$2:$A$49,0),COLUMN(D822))</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INDEX(products!$A$1:$G$49,MATCH($D824,products!$A$1:$A$49,0),MATCH(I$1,products!$A$1:$G$1,0))</f>
        <v>Exc</v>
      </c>
      <c r="J824" t="str" cm="1">
        <f t="array" ref="J824">INDEX(products!$B$2:$E$49,MATCH($D824,products!$A$2:$A$49,0),COLUMN(B823))</f>
        <v>L</v>
      </c>
      <c r="K824" s="4" cm="1">
        <f t="array" ref="K824">INDEX(products!$B$2:$E$49,MATCH($D824,products!$A$2:$A$49,0),COLUMN(C823))</f>
        <v>2.5</v>
      </c>
      <c r="L824" s="5" cm="1">
        <f t="array" ref="L824">INDEX(products!$B$2:$E$49,MATCH($D824,products!$A$2:$A$49,0),COLUMN(D823))</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INDEX(products!$A$1:$G$49,MATCH($D825,products!$A$1:$A$49,0),MATCH(I$1,products!$A$1:$G$1,0))</f>
        <v>Lib</v>
      </c>
      <c r="J825" t="str" cm="1">
        <f t="array" ref="J825">INDEX(products!$B$2:$E$49,MATCH($D825,products!$A$2:$A$49,0),COLUMN(B824))</f>
        <v>L</v>
      </c>
      <c r="K825" s="4" cm="1">
        <f t="array" ref="K825">INDEX(products!$B$2:$E$49,MATCH($D825,products!$A$2:$A$49,0),COLUMN(C824))</f>
        <v>1</v>
      </c>
      <c r="L825" s="5" cm="1">
        <f t="array" ref="L825">INDEX(products!$B$2:$E$49,MATCH($D825,products!$A$2:$A$49,0),COLUMN(D824))</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INDEX(products!$A$1:$G$49,MATCH($D826,products!$A$1:$A$49,0),MATCH(I$1,products!$A$1:$G$1,0))</f>
        <v>Ara</v>
      </c>
      <c r="J826" t="str" cm="1">
        <f t="array" ref="J826">INDEX(products!$B$2:$E$49,MATCH($D826,products!$A$2:$A$49,0),COLUMN(B825))</f>
        <v>M</v>
      </c>
      <c r="K826" s="4" cm="1">
        <f t="array" ref="K826">INDEX(products!$B$2:$E$49,MATCH($D826,products!$A$2:$A$49,0),COLUMN(C825))</f>
        <v>0.2</v>
      </c>
      <c r="L826" s="5" cm="1">
        <f t="array" ref="L826">INDEX(products!$B$2:$E$49,MATCH($D826,products!$A$2:$A$49,0),COLUMN(D825))</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INDEX(products!$A$1:$G$49,MATCH($D827,products!$A$1:$A$49,0),MATCH(I$1,products!$A$1:$G$1,0))</f>
        <v>Ara</v>
      </c>
      <c r="J827" t="str" cm="1">
        <f t="array" ref="J827">INDEX(products!$B$2:$E$49,MATCH($D827,products!$A$2:$A$49,0),COLUMN(B826))</f>
        <v>D</v>
      </c>
      <c r="K827" s="4" cm="1">
        <f t="array" ref="K827">INDEX(products!$B$2:$E$49,MATCH($D827,products!$A$2:$A$49,0),COLUMN(C826))</f>
        <v>1</v>
      </c>
      <c r="L827" s="5" cm="1">
        <f t="array" ref="L827">INDEX(products!$B$2:$E$49,MATCH($D827,products!$A$2:$A$49,0),COLUMN(D826))</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INDEX(products!$A$1:$G$49,MATCH($D828,products!$A$1:$A$49,0),MATCH(I$1,products!$A$1:$G$1,0))</f>
        <v>Exc</v>
      </c>
      <c r="J828" t="str" cm="1">
        <f t="array" ref="J828">INDEX(products!$B$2:$E$49,MATCH($D828,products!$A$2:$A$49,0),COLUMN(B827))</f>
        <v>M</v>
      </c>
      <c r="K828" s="4" cm="1">
        <f t="array" ref="K828">INDEX(products!$B$2:$E$49,MATCH($D828,products!$A$2:$A$49,0),COLUMN(C827))</f>
        <v>0.5</v>
      </c>
      <c r="L828" s="5" cm="1">
        <f t="array" ref="L828">INDEX(products!$B$2:$E$49,MATCH($D828,products!$A$2:$A$49,0),COLUMN(D827))</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INDEX(products!$A$1:$G$49,MATCH($D829,products!$A$1:$A$49,0),MATCH(I$1,products!$A$1:$G$1,0))</f>
        <v>Exc</v>
      </c>
      <c r="J829" t="str" cm="1">
        <f t="array" ref="J829">INDEX(products!$B$2:$E$49,MATCH($D829,products!$A$2:$A$49,0),COLUMN(B828))</f>
        <v>M</v>
      </c>
      <c r="K829" s="4" cm="1">
        <f t="array" ref="K829">INDEX(products!$B$2:$E$49,MATCH($D829,products!$A$2:$A$49,0),COLUMN(C828))</f>
        <v>0.2</v>
      </c>
      <c r="L829" s="5" cm="1">
        <f t="array" ref="L829">INDEX(products!$B$2:$E$49,MATCH($D829,products!$A$2:$A$49,0),COLUMN(D828))</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INDEX(products!$A$1:$G$49,MATCH($D830,products!$A$1:$A$49,0),MATCH(I$1,products!$A$1:$G$1,0))</f>
        <v>Ara</v>
      </c>
      <c r="J830" t="str" cm="1">
        <f t="array" ref="J830">INDEX(products!$B$2:$E$49,MATCH($D830,products!$A$2:$A$49,0),COLUMN(B829))</f>
        <v>D</v>
      </c>
      <c r="K830" s="4" cm="1">
        <f t="array" ref="K830">INDEX(products!$B$2:$E$49,MATCH($D830,products!$A$2:$A$49,0),COLUMN(C829))</f>
        <v>2.5</v>
      </c>
      <c r="L830" s="5" cm="1">
        <f t="array" ref="L830">INDEX(products!$B$2:$E$49,MATCH($D830,products!$A$2:$A$49,0),COLUMN(D829))</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INDEX(products!$A$1:$G$49,MATCH($D831,products!$A$1:$A$49,0),MATCH(I$1,products!$A$1:$G$1,0))</f>
        <v>Ara</v>
      </c>
      <c r="J831" t="str" cm="1">
        <f t="array" ref="J831">INDEX(products!$B$2:$E$49,MATCH($D831,products!$A$2:$A$49,0),COLUMN(B830))</f>
        <v>D</v>
      </c>
      <c r="K831" s="4" cm="1">
        <f t="array" ref="K831">INDEX(products!$B$2:$E$49,MATCH($D831,products!$A$2:$A$49,0),COLUMN(C830))</f>
        <v>0.2</v>
      </c>
      <c r="L831" s="5" cm="1">
        <f t="array" ref="L831">INDEX(products!$B$2:$E$49,MATCH($D831,products!$A$2:$A$49,0),COLUMN(D830))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INDEX(products!$A$1:$G$49,MATCH($D832,products!$A$1:$A$49,0),MATCH(I$1,products!$A$1:$G$1,0))</f>
        <v>Exc</v>
      </c>
      <c r="J832" t="str" cm="1">
        <f t="array" ref="J832">INDEX(products!$B$2:$E$49,MATCH($D832,products!$A$2:$A$49,0),COLUMN(B831))</f>
        <v>M</v>
      </c>
      <c r="K832" s="4" cm="1">
        <f t="array" ref="K832">INDEX(products!$B$2:$E$49,MATCH($D832,products!$A$2:$A$49,0),COLUMN(C831))</f>
        <v>1</v>
      </c>
      <c r="L832" s="5" cm="1">
        <f t="array" ref="L832">INDEX(products!$B$2:$E$49,MATCH($D832,products!$A$2:$A$49,0),COLUMN(D831))</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INDEX(products!$A$1:$G$49,MATCH($D833,products!$A$1:$A$49,0),MATCH(I$1,products!$A$1:$G$1,0))</f>
        <v>Ara</v>
      </c>
      <c r="J833" t="str" cm="1">
        <f t="array" ref="J833">INDEX(products!$B$2:$E$49,MATCH($D833,products!$A$2:$A$49,0),COLUMN(B832))</f>
        <v>D</v>
      </c>
      <c r="K833" s="4" cm="1">
        <f t="array" ref="K833">INDEX(products!$B$2:$E$49,MATCH($D833,products!$A$2:$A$49,0),COLUMN(C832))</f>
        <v>0.2</v>
      </c>
      <c r="L833" s="5" cm="1">
        <f t="array" ref="L833">INDEX(products!$B$2:$E$49,MATCH($D833,products!$A$2:$A$49,0),COLUMN(D832))</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INDEX(products!$A$1:$G$49,MATCH($D834,products!$A$1:$A$49,0),MATCH(I$1,products!$A$1:$G$1,0))</f>
        <v>Rob</v>
      </c>
      <c r="J834" t="str" cm="1">
        <f t="array" ref="J834">INDEX(products!$B$2:$E$49,MATCH($D834,products!$A$2:$A$49,0),COLUMN(B833))</f>
        <v>M</v>
      </c>
      <c r="K834" s="4" cm="1">
        <f t="array" ref="K834">INDEX(products!$B$2:$E$49,MATCH($D834,products!$A$2:$A$49,0),COLUMN(C833))</f>
        <v>1</v>
      </c>
      <c r="L834" s="5" cm="1">
        <f t="array" ref="L834">INDEX(products!$B$2:$E$49,MATCH($D834,products!$A$2:$A$49,0),COLUMN(D833))</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INDEX(products!$A$1:$G$49,MATCH($D835,products!$A$1:$A$49,0),MATCH(I$1,products!$A$1:$G$1,0))</f>
        <v>Rob</v>
      </c>
      <c r="J835" t="str" cm="1">
        <f t="array" ref="J835">INDEX(products!$B$2:$E$49,MATCH($D835,products!$A$2:$A$49,0),COLUMN(B834))</f>
        <v>D</v>
      </c>
      <c r="K835" s="4" cm="1">
        <f t="array" ref="K835">INDEX(products!$B$2:$E$49,MATCH($D835,products!$A$2:$A$49,0),COLUMN(C834))</f>
        <v>2.5</v>
      </c>
      <c r="L835" s="5" cm="1">
        <f t="array" ref="L835">INDEX(products!$B$2:$E$49,MATCH($D835,products!$A$2:$A$49,0),COLUMN(D834))</f>
        <v>20.584999999999997</v>
      </c>
      <c r="M835" s="5">
        <f t="shared" ref="M835:M898" si="39">E835*L835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INDEX(products!$A$1:$G$49,MATCH($D836,products!$A$1:$A$49,0),MATCH(I$1,products!$A$1:$G$1,0))</f>
        <v>Ara</v>
      </c>
      <c r="J836" t="str" cm="1">
        <f t="array" ref="J836">INDEX(products!$B$2:$E$49,MATCH($D836,products!$A$2:$A$49,0),COLUMN(B835))</f>
        <v>D</v>
      </c>
      <c r="K836" s="4" cm="1">
        <f t="array" ref="K836">INDEX(products!$B$2:$E$49,MATCH($D836,products!$A$2:$A$49,0),COLUMN(C835))</f>
        <v>2.5</v>
      </c>
      <c r="L836" s="5" cm="1">
        <f t="array" ref="L836">INDEX(products!$B$2:$E$49,MATCH($D836,products!$A$2:$A$49,0),COLUMN(D835))</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INDEX(products!$A$1:$G$49,MATCH($D837,products!$A$1:$A$49,0),MATCH(I$1,products!$A$1:$G$1,0))</f>
        <v>Exc</v>
      </c>
      <c r="J837" t="str" cm="1">
        <f t="array" ref="J837">INDEX(products!$B$2:$E$49,MATCH($D837,products!$A$2:$A$49,0),COLUMN(B836))</f>
        <v>L</v>
      </c>
      <c r="K837" s="4" cm="1">
        <f t="array" ref="K837">INDEX(products!$B$2:$E$49,MATCH($D837,products!$A$2:$A$49,0),COLUMN(C836))</f>
        <v>0.5</v>
      </c>
      <c r="L837" s="5" cm="1">
        <f t="array" ref="L837">INDEX(products!$B$2:$E$49,MATCH($D837,products!$A$2:$A$49,0),COLUMN(D836))</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INDEX(products!$A$1:$G$49,MATCH($D838,products!$A$1:$A$49,0),MATCH(I$1,products!$A$1:$G$1,0))</f>
        <v>Ara</v>
      </c>
      <c r="J838" t="str" cm="1">
        <f t="array" ref="J838">INDEX(products!$B$2:$E$49,MATCH($D838,products!$A$2:$A$49,0),COLUMN(B837))</f>
        <v>D</v>
      </c>
      <c r="K838" s="4" cm="1">
        <f t="array" ref="K838">INDEX(products!$B$2:$E$49,MATCH($D838,products!$A$2:$A$49,0),COLUMN(C837))</f>
        <v>0.2</v>
      </c>
      <c r="L838" s="5" cm="1">
        <f t="array" ref="L838">INDEX(products!$B$2:$E$49,MATCH($D838,products!$A$2:$A$49,0),COLUMN(D837))</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f>
        <v>Allis Wilmore</v>
      </c>
      <c r="G839" s="2" t="str">
        <f>IF(_xlfn.XLOOKUP(C839,customers!$A$1:$A$1001,customers!$C$1:$C$1001,,0)=0,"",(_xlfn.XLOOKUP(C839,customers!$A$1:$A$1001,customers!$C$1:$C$1001,,0)))</f>
        <v/>
      </c>
      <c r="H839" s="2" t="str">
        <f>_xlfn.XLOOKUP(C839,customers!$A$1:$A$1001,customers!$G$1:$G$1001,,0)</f>
        <v>United States</v>
      </c>
      <c r="I839" t="str">
        <f>INDEX(products!$A$1:$G$49,MATCH($D839,products!$A$1:$A$49,0),MATCH(I$1,products!$A$1:$G$1,0))</f>
        <v>Lib</v>
      </c>
      <c r="J839" t="str" cm="1">
        <f t="array" ref="J839">INDEX(products!$B$2:$E$49,MATCH($D839,products!$A$2:$A$49,0),COLUMN(B838))</f>
        <v>M</v>
      </c>
      <c r="K839" s="4" cm="1">
        <f t="array" ref="K839">INDEX(products!$B$2:$E$49,MATCH($D839,products!$A$2:$A$49,0),COLUMN(C838))</f>
        <v>2.5</v>
      </c>
      <c r="L839" s="5" cm="1">
        <f t="array" ref="L839">INDEX(products!$B$2:$E$49,MATCH($D839,products!$A$2:$A$49,0),COLUMN(D838))</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INDEX(products!$A$1:$G$49,MATCH($D840,products!$A$1:$A$49,0),MATCH(I$1,products!$A$1:$G$1,0))</f>
        <v>Ara</v>
      </c>
      <c r="J840" t="str" cm="1">
        <f t="array" ref="J840">INDEX(products!$B$2:$E$49,MATCH($D840,products!$A$2:$A$49,0),COLUMN(B839))</f>
        <v>D</v>
      </c>
      <c r="K840" s="4" cm="1">
        <f t="array" ref="K840">INDEX(products!$B$2:$E$49,MATCH($D840,products!$A$2:$A$49,0),COLUMN(C839))</f>
        <v>2.5</v>
      </c>
      <c r="L840" s="5" cm="1">
        <f t="array" ref="L840">INDEX(products!$B$2:$E$49,MATCH($D840,products!$A$2:$A$49,0),COLUMN(D839))</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INDEX(products!$A$1:$G$49,MATCH($D841,products!$A$1:$A$49,0),MATCH(I$1,products!$A$1:$G$1,0))</f>
        <v>Exc</v>
      </c>
      <c r="J841" t="str" cm="1">
        <f t="array" ref="J841">INDEX(products!$B$2:$E$49,MATCH($D841,products!$A$2:$A$49,0),COLUMN(B840))</f>
        <v>M</v>
      </c>
      <c r="K841" s="4" cm="1">
        <f t="array" ref="K841">INDEX(products!$B$2:$E$49,MATCH($D841,products!$A$2:$A$49,0),COLUMN(C840))</f>
        <v>0.5</v>
      </c>
      <c r="L841" s="5" cm="1">
        <f t="array" ref="L841">INDEX(products!$B$2:$E$49,MATCH($D841,products!$A$2:$A$49,0),COLUMN(D840))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INDEX(products!$A$1:$G$49,MATCH($D842,products!$A$1:$A$49,0),MATCH(I$1,products!$A$1:$G$1,0))</f>
        <v>Rob</v>
      </c>
      <c r="J842" t="str" cm="1">
        <f t="array" ref="J842">INDEX(products!$B$2:$E$49,MATCH($D842,products!$A$2:$A$49,0),COLUMN(B841))</f>
        <v>L</v>
      </c>
      <c r="K842" s="4" cm="1">
        <f t="array" ref="K842">INDEX(products!$B$2:$E$49,MATCH($D842,products!$A$2:$A$49,0),COLUMN(C841))</f>
        <v>0.5</v>
      </c>
      <c r="L842" s="5" cm="1">
        <f t="array" ref="L842">INDEX(products!$B$2:$E$49,MATCH($D842,products!$A$2:$A$49,0),COLUMN(D841))</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INDEX(products!$A$1:$G$49,MATCH($D843,products!$A$1:$A$49,0),MATCH(I$1,products!$A$1:$G$1,0))</f>
        <v>Lib</v>
      </c>
      <c r="J843" t="str" cm="1">
        <f t="array" ref="J843">INDEX(products!$B$2:$E$49,MATCH($D843,products!$A$2:$A$49,0),COLUMN(B842))</f>
        <v>M</v>
      </c>
      <c r="K843" s="4" cm="1">
        <f t="array" ref="K843">INDEX(products!$B$2:$E$49,MATCH($D843,products!$A$2:$A$49,0),COLUMN(C842))</f>
        <v>0.2</v>
      </c>
      <c r="L843" s="5" cm="1">
        <f t="array" ref="L843">INDEX(products!$B$2:$E$49,MATCH($D843,products!$A$2:$A$49,0),COLUMN(D842))</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INDEX(products!$A$1:$G$49,MATCH($D844,products!$A$1:$A$49,0),MATCH(I$1,products!$A$1:$G$1,0))</f>
        <v>Exc</v>
      </c>
      <c r="J844" t="str" cm="1">
        <f t="array" ref="J844">INDEX(products!$B$2:$E$49,MATCH($D844,products!$A$2:$A$49,0),COLUMN(B843))</f>
        <v>M</v>
      </c>
      <c r="K844" s="4" cm="1">
        <f t="array" ref="K844">INDEX(products!$B$2:$E$49,MATCH($D844,products!$A$2:$A$49,0),COLUMN(C843))</f>
        <v>0.2</v>
      </c>
      <c r="L844" s="5" cm="1">
        <f t="array" ref="L844">INDEX(products!$B$2:$E$49,MATCH($D844,products!$A$2:$A$49,0),COLUMN(D843))</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INDEX(products!$A$1:$G$49,MATCH($D845,products!$A$1:$A$49,0),MATCH(I$1,products!$A$1:$G$1,0))</f>
        <v>Exc</v>
      </c>
      <c r="J845" t="str" cm="1">
        <f t="array" ref="J845">INDEX(products!$B$2:$E$49,MATCH($D845,products!$A$2:$A$49,0),COLUMN(B844))</f>
        <v>M</v>
      </c>
      <c r="K845" s="4" cm="1">
        <f t="array" ref="K845">INDEX(products!$B$2:$E$49,MATCH($D845,products!$A$2:$A$49,0),COLUMN(C844))</f>
        <v>0.2</v>
      </c>
      <c r="L845" s="5" cm="1">
        <f t="array" ref="L845">INDEX(products!$B$2:$E$49,MATCH($D845,products!$A$2:$A$49,0),COLUMN(D844))</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INDEX(products!$A$1:$G$49,MATCH($D846,products!$A$1:$A$49,0),MATCH(I$1,products!$A$1:$G$1,0))</f>
        <v>Ara</v>
      </c>
      <c r="J846" t="str" cm="1">
        <f t="array" ref="J846">INDEX(products!$B$2:$E$49,MATCH($D846,products!$A$2:$A$49,0),COLUMN(B845))</f>
        <v>D</v>
      </c>
      <c r="K846" s="4" cm="1">
        <f t="array" ref="K846">INDEX(products!$B$2:$E$49,MATCH($D846,products!$A$2:$A$49,0),COLUMN(C845))</f>
        <v>0.5</v>
      </c>
      <c r="L846" s="5" cm="1">
        <f t="array" ref="L846">INDEX(products!$B$2:$E$49,MATCH($D846,products!$A$2:$A$49,0),COLUMN(D845))</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INDEX(products!$A$1:$G$49,MATCH($D847,products!$A$1:$A$49,0),MATCH(I$1,products!$A$1:$G$1,0))</f>
        <v>Exc</v>
      </c>
      <c r="J847" t="str" cm="1">
        <f t="array" ref="J847">INDEX(products!$B$2:$E$49,MATCH($D847,products!$A$2:$A$49,0),COLUMN(B846))</f>
        <v>D</v>
      </c>
      <c r="K847" s="4" cm="1">
        <f t="array" ref="K847">INDEX(products!$B$2:$E$49,MATCH($D847,products!$A$2:$A$49,0),COLUMN(C846))</f>
        <v>2.5</v>
      </c>
      <c r="L847" s="5" cm="1">
        <f t="array" ref="L847">INDEX(products!$B$2:$E$49,MATCH($D847,products!$A$2:$A$49,0),COLUMN(D846))</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f>
        <v>Edin Mathe</v>
      </c>
      <c r="G848" s="2" t="str">
        <f>IF(_xlfn.XLOOKUP(C848,customers!$A$1:$A$1001,customers!$C$1:$C$1001,,0)=0,"",(_xlfn.XLOOKUP(C848,customers!$A$1:$A$1001,customers!$C$1:$C$1001,,0)))</f>
        <v/>
      </c>
      <c r="H848" s="2" t="str">
        <f>_xlfn.XLOOKUP(C848,customers!$A$1:$A$1001,customers!$G$1:$G$1001,,0)</f>
        <v>United States</v>
      </c>
      <c r="I848" t="str">
        <f>INDEX(products!$A$1:$G$49,MATCH($D848,products!$A$1:$A$49,0),MATCH(I$1,products!$A$1:$G$1,0))</f>
        <v>Ara</v>
      </c>
      <c r="J848" t="str" cm="1">
        <f t="array" ref="J848">INDEX(products!$B$2:$E$49,MATCH($D848,products!$A$2:$A$49,0),COLUMN(B847))</f>
        <v>M</v>
      </c>
      <c r="K848" s="4" cm="1">
        <f t="array" ref="K848">INDEX(products!$B$2:$E$49,MATCH($D848,products!$A$2:$A$49,0),COLUMN(C847))</f>
        <v>2.5</v>
      </c>
      <c r="L848" s="5" cm="1">
        <f t="array" ref="L848">INDEX(products!$B$2:$E$49,MATCH($D848,products!$A$2:$A$49,0),COLUMN(D847))</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INDEX(products!$A$1:$G$49,MATCH($D849,products!$A$1:$A$49,0),MATCH(I$1,products!$A$1:$G$1,0))</f>
        <v>Ara</v>
      </c>
      <c r="J849" t="str" cm="1">
        <f t="array" ref="J849">INDEX(products!$B$2:$E$49,MATCH($D849,products!$A$2:$A$49,0),COLUMN(B848))</f>
        <v>D</v>
      </c>
      <c r="K849" s="4" cm="1">
        <f t="array" ref="K849">INDEX(products!$B$2:$E$49,MATCH($D849,products!$A$2:$A$49,0),COLUMN(C848))</f>
        <v>0.2</v>
      </c>
      <c r="L849" s="5" cm="1">
        <f t="array" ref="L849">INDEX(products!$B$2:$E$49,MATCH($D849,products!$A$2:$A$49,0),COLUMN(D848))</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f>
        <v>Spencer Wastell</v>
      </c>
      <c r="G850" s="2" t="str">
        <f>IF(_xlfn.XLOOKUP(C850,customers!$A$1:$A$1001,customers!$C$1:$C$1001,,0)=0,"",(_xlfn.XLOOKUP(C850,customers!$A$1:$A$1001,customers!$C$1:$C$1001,,0)))</f>
        <v/>
      </c>
      <c r="H850" s="2" t="str">
        <f>_xlfn.XLOOKUP(C850,customers!$A$1:$A$1001,customers!$G$1:$G$1001,,0)</f>
        <v>United States</v>
      </c>
      <c r="I850" t="str">
        <f>INDEX(products!$A$1:$G$49,MATCH($D850,products!$A$1:$A$49,0),MATCH(I$1,products!$A$1:$G$1,0))</f>
        <v>Exc</v>
      </c>
      <c r="J850" t="str" cm="1">
        <f t="array" ref="J850">INDEX(products!$B$2:$E$49,MATCH($D850,products!$A$2:$A$49,0),COLUMN(B849))</f>
        <v>L</v>
      </c>
      <c r="K850" s="4" cm="1">
        <f t="array" ref="K850">INDEX(products!$B$2:$E$49,MATCH($D850,products!$A$2:$A$49,0),COLUMN(C849))</f>
        <v>0.5</v>
      </c>
      <c r="L850" s="5" cm="1">
        <f t="array" ref="L850">INDEX(products!$B$2:$E$49,MATCH($D850,products!$A$2:$A$49,0),COLUMN(D849))</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INDEX(products!$A$1:$G$49,MATCH($D851,products!$A$1:$A$49,0),MATCH(I$1,products!$A$1:$G$1,0))</f>
        <v>Ara</v>
      </c>
      <c r="J851" t="str" cm="1">
        <f t="array" ref="J851">INDEX(products!$B$2:$E$49,MATCH($D851,products!$A$2:$A$49,0),COLUMN(B850))</f>
        <v>L</v>
      </c>
      <c r="K851" s="4" cm="1">
        <f t="array" ref="K851">INDEX(products!$B$2:$E$49,MATCH($D851,products!$A$2:$A$49,0),COLUMN(C850))</f>
        <v>0.2</v>
      </c>
      <c r="L851" s="5" cm="1">
        <f t="array" ref="L851">INDEX(products!$B$2:$E$49,MATCH($D851,products!$A$2:$A$49,0),COLUMN(D850))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INDEX(products!$A$1:$G$49,MATCH($D852,products!$A$1:$A$49,0),MATCH(I$1,products!$A$1:$G$1,0))</f>
        <v>Ara</v>
      </c>
      <c r="J852" t="str" cm="1">
        <f t="array" ref="J852">INDEX(products!$B$2:$E$49,MATCH($D852,products!$A$2:$A$49,0),COLUMN(B851))</f>
        <v>M</v>
      </c>
      <c r="K852" s="4" cm="1">
        <f t="array" ref="K852">INDEX(products!$B$2:$E$49,MATCH($D852,products!$A$2:$A$49,0),COLUMN(C851))</f>
        <v>0.2</v>
      </c>
      <c r="L852" s="5" cm="1">
        <f t="array" ref="L852">INDEX(products!$B$2:$E$49,MATCH($D852,products!$A$2:$A$49,0),COLUMN(D851))</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INDEX(products!$A$1:$G$49,MATCH($D853,products!$A$1:$A$49,0),MATCH(I$1,products!$A$1:$G$1,0))</f>
        <v>Lib</v>
      </c>
      <c r="J853" t="str" cm="1">
        <f t="array" ref="J853">INDEX(products!$B$2:$E$49,MATCH($D853,products!$A$2:$A$49,0),COLUMN(B852))</f>
        <v>D</v>
      </c>
      <c r="K853" s="4" cm="1">
        <f t="array" ref="K853">INDEX(products!$B$2:$E$49,MATCH($D853,products!$A$2:$A$49,0),COLUMN(C852))</f>
        <v>0.5</v>
      </c>
      <c r="L853" s="5" cm="1">
        <f t="array" ref="L853">INDEX(products!$B$2:$E$49,MATCH($D853,products!$A$2:$A$49,0),COLUMN(D852))</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INDEX(products!$A$1:$G$49,MATCH($D854,products!$A$1:$A$49,0),MATCH(I$1,products!$A$1:$G$1,0))</f>
        <v>Lib</v>
      </c>
      <c r="J854" t="str" cm="1">
        <f t="array" ref="J854">INDEX(products!$B$2:$E$49,MATCH($D854,products!$A$2:$A$49,0),COLUMN(B853))</f>
        <v>D</v>
      </c>
      <c r="K854" s="4" cm="1">
        <f t="array" ref="K854">INDEX(products!$B$2:$E$49,MATCH($D854,products!$A$2:$A$49,0),COLUMN(C853))</f>
        <v>2.5</v>
      </c>
      <c r="L854" s="5" cm="1">
        <f t="array" ref="L854">INDEX(products!$B$2:$E$49,MATCH($D854,products!$A$2:$A$49,0),COLUMN(D853))</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INDEX(products!$A$1:$G$49,MATCH($D855,products!$A$1:$A$49,0),MATCH(I$1,products!$A$1:$G$1,0))</f>
        <v>Ara</v>
      </c>
      <c r="J855" t="str" cm="1">
        <f t="array" ref="J855">INDEX(products!$B$2:$E$49,MATCH($D855,products!$A$2:$A$49,0),COLUMN(B854))</f>
        <v>D</v>
      </c>
      <c r="K855" s="4" cm="1">
        <f t="array" ref="K855">INDEX(products!$B$2:$E$49,MATCH($D855,products!$A$2:$A$49,0),COLUMN(C854))</f>
        <v>1</v>
      </c>
      <c r="L855" s="5" cm="1">
        <f t="array" ref="L855">INDEX(products!$B$2:$E$49,MATCH($D855,products!$A$2:$A$49,0),COLUMN(D854))</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INDEX(products!$A$1:$G$49,MATCH($D856,products!$A$1:$A$49,0),MATCH(I$1,products!$A$1:$G$1,0))</f>
        <v>Rob</v>
      </c>
      <c r="J856" t="str" cm="1">
        <f t="array" ref="J856">INDEX(products!$B$2:$E$49,MATCH($D856,products!$A$2:$A$49,0),COLUMN(B855))</f>
        <v>L</v>
      </c>
      <c r="K856" s="4" cm="1">
        <f t="array" ref="K856">INDEX(products!$B$2:$E$49,MATCH($D856,products!$A$2:$A$49,0),COLUMN(C855))</f>
        <v>0.5</v>
      </c>
      <c r="L856" s="5" cm="1">
        <f t="array" ref="L856">INDEX(products!$B$2:$E$49,MATCH($D856,products!$A$2:$A$49,0),COLUMN(D855))</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INDEX(products!$A$1:$G$49,MATCH($D857,products!$A$1:$A$49,0),MATCH(I$1,products!$A$1:$G$1,0))</f>
        <v>Lib</v>
      </c>
      <c r="J857" t="str" cm="1">
        <f t="array" ref="J857">INDEX(products!$B$2:$E$49,MATCH($D857,products!$A$2:$A$49,0),COLUMN(B856))</f>
        <v>D</v>
      </c>
      <c r="K857" s="4" cm="1">
        <f t="array" ref="K857">INDEX(products!$B$2:$E$49,MATCH($D857,products!$A$2:$A$49,0),COLUMN(C856))</f>
        <v>2.5</v>
      </c>
      <c r="L857" s="5" cm="1">
        <f t="array" ref="L857">INDEX(products!$B$2:$E$49,MATCH($D857,products!$A$2:$A$49,0),COLUMN(D856))</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INDEX(products!$A$1:$G$49,MATCH($D858,products!$A$1:$A$49,0),MATCH(I$1,products!$A$1:$G$1,0))</f>
        <v>Lib</v>
      </c>
      <c r="J858" t="str" cm="1">
        <f t="array" ref="J858">INDEX(products!$B$2:$E$49,MATCH($D858,products!$A$2:$A$49,0),COLUMN(B857))</f>
        <v>M</v>
      </c>
      <c r="K858" s="4" cm="1">
        <f t="array" ref="K858">INDEX(products!$B$2:$E$49,MATCH($D858,products!$A$2:$A$49,0),COLUMN(C857))</f>
        <v>0.2</v>
      </c>
      <c r="L858" s="5" cm="1">
        <f t="array" ref="L858">INDEX(products!$B$2:$E$49,MATCH($D858,products!$A$2:$A$49,0),COLUMN(D857))</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INDEX(products!$A$1:$G$49,MATCH($D859,products!$A$1:$A$49,0),MATCH(I$1,products!$A$1:$G$1,0))</f>
        <v>Rob</v>
      </c>
      <c r="J859" t="str" cm="1">
        <f t="array" ref="J859">INDEX(products!$B$2:$E$49,MATCH($D859,products!$A$2:$A$49,0),COLUMN(B858))</f>
        <v>L</v>
      </c>
      <c r="K859" s="4" cm="1">
        <f t="array" ref="K859">INDEX(products!$B$2:$E$49,MATCH($D859,products!$A$2:$A$49,0),COLUMN(C858))</f>
        <v>2.5</v>
      </c>
      <c r="L859" s="5" cm="1">
        <f t="array" ref="L859">INDEX(products!$B$2:$E$49,MATCH($D859,products!$A$2:$A$49,0),COLUMN(D858))</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INDEX(products!$A$1:$G$49,MATCH($D860,products!$A$1:$A$49,0),MATCH(I$1,products!$A$1:$G$1,0))</f>
        <v>Lib</v>
      </c>
      <c r="J860" t="str" cm="1">
        <f t="array" ref="J860">INDEX(products!$B$2:$E$49,MATCH($D860,products!$A$2:$A$49,0),COLUMN(B859))</f>
        <v>M</v>
      </c>
      <c r="K860" s="4" cm="1">
        <f t="array" ref="K860">INDEX(products!$B$2:$E$49,MATCH($D860,products!$A$2:$A$49,0),COLUMN(C859))</f>
        <v>0.5</v>
      </c>
      <c r="L860" s="5" cm="1">
        <f t="array" ref="L860">INDEX(products!$B$2:$E$49,MATCH($D860,products!$A$2:$A$49,0),COLUMN(D859))</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INDEX(products!$A$1:$G$49,MATCH($D861,products!$A$1:$A$49,0),MATCH(I$1,products!$A$1:$G$1,0))</f>
        <v>Ara</v>
      </c>
      <c r="J861" t="str" cm="1">
        <f t="array" ref="J861">INDEX(products!$B$2:$E$49,MATCH($D861,products!$A$2:$A$49,0),COLUMN(B860))</f>
        <v>L</v>
      </c>
      <c r="K861" s="4" cm="1">
        <f t="array" ref="K861">INDEX(products!$B$2:$E$49,MATCH($D861,products!$A$2:$A$49,0),COLUMN(C860))</f>
        <v>2.5</v>
      </c>
      <c r="L861" s="5" cm="1">
        <f t="array" ref="L861">INDEX(products!$B$2:$E$49,MATCH($D861,products!$A$2:$A$49,0),COLUMN(D860))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f>
        <v>Cece Inker</v>
      </c>
      <c r="G862" s="2" t="str">
        <f>IF(_xlfn.XLOOKUP(C862,customers!$A$1:$A$1001,customers!$C$1:$C$1001,,0)=0,"",(_xlfn.XLOOKUP(C862,customers!$A$1:$A$1001,customers!$C$1:$C$1001,,0)))</f>
        <v/>
      </c>
      <c r="H862" s="2" t="str">
        <f>_xlfn.XLOOKUP(C862,customers!$A$1:$A$1001,customers!$G$1:$G$1001,,0)</f>
        <v>United States</v>
      </c>
      <c r="I862" t="str">
        <f>INDEX(products!$A$1:$G$49,MATCH($D862,products!$A$1:$A$49,0),MATCH(I$1,products!$A$1:$G$1,0))</f>
        <v>Ara</v>
      </c>
      <c r="J862" t="str" cm="1">
        <f t="array" ref="J862">INDEX(products!$B$2:$E$49,MATCH($D862,products!$A$2:$A$49,0),COLUMN(B861))</f>
        <v>M</v>
      </c>
      <c r="K862" s="4" cm="1">
        <f t="array" ref="K862">INDEX(products!$B$2:$E$49,MATCH($D862,products!$A$2:$A$49,0),COLUMN(C861))</f>
        <v>2.5</v>
      </c>
      <c r="L862" s="5" cm="1">
        <f t="array" ref="L862">INDEX(products!$B$2:$E$49,MATCH($D862,products!$A$2:$A$49,0),COLUMN(D861))</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INDEX(products!$A$1:$G$49,MATCH($D863,products!$A$1:$A$49,0),MATCH(I$1,products!$A$1:$G$1,0))</f>
        <v>Lib</v>
      </c>
      <c r="J863" t="str" cm="1">
        <f t="array" ref="J863">INDEX(products!$B$2:$E$49,MATCH($D863,products!$A$2:$A$49,0),COLUMN(B862))</f>
        <v>D</v>
      </c>
      <c r="K863" s="4" cm="1">
        <f t="array" ref="K863">INDEX(products!$B$2:$E$49,MATCH($D863,products!$A$2:$A$49,0),COLUMN(C862))</f>
        <v>1</v>
      </c>
      <c r="L863" s="5" cm="1">
        <f t="array" ref="L863">INDEX(products!$B$2:$E$49,MATCH($D863,products!$A$2:$A$49,0),COLUMN(D862))</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INDEX(products!$A$1:$G$49,MATCH($D864,products!$A$1:$A$49,0),MATCH(I$1,products!$A$1:$G$1,0))</f>
        <v>Rob</v>
      </c>
      <c r="J864" t="str" cm="1">
        <f t="array" ref="J864">INDEX(products!$B$2:$E$49,MATCH($D864,products!$A$2:$A$49,0),COLUMN(B863))</f>
        <v>M</v>
      </c>
      <c r="K864" s="4" cm="1">
        <f t="array" ref="K864">INDEX(products!$B$2:$E$49,MATCH($D864,products!$A$2:$A$49,0),COLUMN(C863))</f>
        <v>1</v>
      </c>
      <c r="L864" s="5" cm="1">
        <f t="array" ref="L864">INDEX(products!$B$2:$E$49,MATCH($D864,products!$A$2:$A$49,0),COLUMN(D863))</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INDEX(products!$A$1:$G$49,MATCH($D865,products!$A$1:$A$49,0),MATCH(I$1,products!$A$1:$G$1,0))</f>
        <v>Lib</v>
      </c>
      <c r="J865" t="str" cm="1">
        <f t="array" ref="J865">INDEX(products!$B$2:$E$49,MATCH($D865,products!$A$2:$A$49,0),COLUMN(B864))</f>
        <v>M</v>
      </c>
      <c r="K865" s="4" cm="1">
        <f t="array" ref="K865">INDEX(products!$B$2:$E$49,MATCH($D865,products!$A$2:$A$49,0),COLUMN(C864))</f>
        <v>1</v>
      </c>
      <c r="L865" s="5" cm="1">
        <f t="array" ref="L865">INDEX(products!$B$2:$E$49,MATCH($D865,products!$A$2:$A$49,0),COLUMN(D864))</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INDEX(products!$A$1:$G$49,MATCH($D866,products!$A$1:$A$49,0),MATCH(I$1,products!$A$1:$G$1,0))</f>
        <v>Rob</v>
      </c>
      <c r="J866" t="str" cm="1">
        <f t="array" ref="J866">INDEX(products!$B$2:$E$49,MATCH($D866,products!$A$2:$A$49,0),COLUMN(B865))</f>
        <v>L</v>
      </c>
      <c r="K866" s="4" cm="1">
        <f t="array" ref="K866">INDEX(products!$B$2:$E$49,MATCH($D866,products!$A$2:$A$49,0),COLUMN(C865))</f>
        <v>0.2</v>
      </c>
      <c r="L866" s="5" cm="1">
        <f t="array" ref="L866">INDEX(products!$B$2:$E$49,MATCH($D866,products!$A$2:$A$49,0),COLUMN(D865))</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INDEX(products!$A$1:$G$49,MATCH($D867,products!$A$1:$A$49,0),MATCH(I$1,products!$A$1:$G$1,0))</f>
        <v>Ara</v>
      </c>
      <c r="J867" t="str" cm="1">
        <f t="array" ref="J867">INDEX(products!$B$2:$E$49,MATCH($D867,products!$A$2:$A$49,0),COLUMN(B866))</f>
        <v>M</v>
      </c>
      <c r="K867" s="4" cm="1">
        <f t="array" ref="K867">INDEX(products!$B$2:$E$49,MATCH($D867,products!$A$2:$A$49,0),COLUMN(C866))</f>
        <v>0.5</v>
      </c>
      <c r="L867" s="5" cm="1">
        <f t="array" ref="L867">INDEX(products!$B$2:$E$49,MATCH($D867,products!$A$2:$A$49,0),COLUMN(D866))</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INDEX(products!$A$1:$G$49,MATCH($D868,products!$A$1:$A$49,0),MATCH(I$1,products!$A$1:$G$1,0))</f>
        <v>Ara</v>
      </c>
      <c r="J868" t="str" cm="1">
        <f t="array" ref="J868">INDEX(products!$B$2:$E$49,MATCH($D868,products!$A$2:$A$49,0),COLUMN(B867))</f>
        <v>D</v>
      </c>
      <c r="K868" s="4" cm="1">
        <f t="array" ref="K868">INDEX(products!$B$2:$E$49,MATCH($D868,products!$A$2:$A$49,0),COLUMN(C867))</f>
        <v>0.5</v>
      </c>
      <c r="L868" s="5" cm="1">
        <f t="array" ref="L868">INDEX(products!$B$2:$E$49,MATCH($D868,products!$A$2:$A$49,0),COLUMN(D867))</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INDEX(products!$A$1:$G$49,MATCH($D869,products!$A$1:$A$49,0),MATCH(I$1,products!$A$1:$G$1,0))</f>
        <v>Ara</v>
      </c>
      <c r="J869" t="str" cm="1">
        <f t="array" ref="J869">INDEX(products!$B$2:$E$49,MATCH($D869,products!$A$2:$A$49,0),COLUMN(B868))</f>
        <v>L</v>
      </c>
      <c r="K869" s="4" cm="1">
        <f t="array" ref="K869">INDEX(products!$B$2:$E$49,MATCH($D869,products!$A$2:$A$49,0),COLUMN(C868))</f>
        <v>2.5</v>
      </c>
      <c r="L869" s="5" cm="1">
        <f t="array" ref="L869">INDEX(products!$B$2:$E$49,MATCH($D869,products!$A$2:$A$49,0),COLUMN(D868))</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INDEX(products!$A$1:$G$49,MATCH($D870,products!$A$1:$A$49,0),MATCH(I$1,products!$A$1:$G$1,0))</f>
        <v>Exc</v>
      </c>
      <c r="J870" t="str" cm="1">
        <f t="array" ref="J870">INDEX(products!$B$2:$E$49,MATCH($D870,products!$A$2:$A$49,0),COLUMN(B869))</f>
        <v>M</v>
      </c>
      <c r="K870" s="4" cm="1">
        <f t="array" ref="K870">INDEX(products!$B$2:$E$49,MATCH($D870,products!$A$2:$A$49,0),COLUMN(C869))</f>
        <v>0.5</v>
      </c>
      <c r="L870" s="5" cm="1">
        <f t="array" ref="L870">INDEX(products!$B$2:$E$49,MATCH($D870,products!$A$2:$A$49,0),COLUMN(D869))</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f>
        <v>Alexina Randals</v>
      </c>
      <c r="G871" s="2" t="str">
        <f>IF(_xlfn.XLOOKUP(C871,customers!$A$1:$A$1001,customers!$C$1:$C$1001,,0)=0,"",(_xlfn.XLOOKUP(C871,customers!$A$1:$A$1001,customers!$C$1:$C$1001,,0)))</f>
        <v/>
      </c>
      <c r="H871" s="2" t="str">
        <f>_xlfn.XLOOKUP(C871,customers!$A$1:$A$1001,customers!$G$1:$G$1001,,0)</f>
        <v>United States</v>
      </c>
      <c r="I871" t="str">
        <f>INDEX(products!$A$1:$G$49,MATCH($D871,products!$A$1:$A$49,0),MATCH(I$1,products!$A$1:$G$1,0))</f>
        <v>Rob</v>
      </c>
      <c r="J871" t="str" cm="1">
        <f t="array" ref="J871">INDEX(products!$B$2:$E$49,MATCH($D871,products!$A$2:$A$49,0),COLUMN(B870))</f>
        <v>M</v>
      </c>
      <c r="K871" s="4" cm="1">
        <f t="array" ref="K871">INDEX(products!$B$2:$E$49,MATCH($D871,products!$A$2:$A$49,0),COLUMN(C870))</f>
        <v>0.5</v>
      </c>
      <c r="L871" s="5" cm="1">
        <f t="array" ref="L871">INDEX(products!$B$2:$E$49,MATCH($D871,products!$A$2:$A$49,0),COLUMN(D870))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INDEX(products!$A$1:$G$49,MATCH($D872,products!$A$1:$A$49,0),MATCH(I$1,products!$A$1:$G$1,0))</f>
        <v>Exc</v>
      </c>
      <c r="J872" t="str" cm="1">
        <f t="array" ref="J872">INDEX(products!$B$2:$E$49,MATCH($D872,products!$A$2:$A$49,0),COLUMN(B871))</f>
        <v>D</v>
      </c>
      <c r="K872" s="4" cm="1">
        <f t="array" ref="K872">INDEX(products!$B$2:$E$49,MATCH($D872,products!$A$2:$A$49,0),COLUMN(C871))</f>
        <v>0.5</v>
      </c>
      <c r="L872" s="5" cm="1">
        <f t="array" ref="L872">INDEX(products!$B$2:$E$49,MATCH($D872,products!$A$2:$A$49,0),COLUMN(D871))</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INDEX(products!$A$1:$G$49,MATCH($D873,products!$A$1:$A$49,0),MATCH(I$1,products!$A$1:$G$1,0))</f>
        <v>Exc</v>
      </c>
      <c r="J873" t="str" cm="1">
        <f t="array" ref="J873">INDEX(products!$B$2:$E$49,MATCH($D873,products!$A$2:$A$49,0),COLUMN(B872))</f>
        <v>L</v>
      </c>
      <c r="K873" s="4" cm="1">
        <f t="array" ref="K873">INDEX(products!$B$2:$E$49,MATCH($D873,products!$A$2:$A$49,0),COLUMN(C872))</f>
        <v>1</v>
      </c>
      <c r="L873" s="5" cm="1">
        <f t="array" ref="L873">INDEX(products!$B$2:$E$49,MATCH($D873,products!$A$2:$A$49,0),COLUMN(D872))</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INDEX(products!$A$1:$G$49,MATCH($D874,products!$A$1:$A$49,0),MATCH(I$1,products!$A$1:$G$1,0))</f>
        <v>Ara</v>
      </c>
      <c r="J874" t="str" cm="1">
        <f t="array" ref="J874">INDEX(products!$B$2:$E$49,MATCH($D874,products!$A$2:$A$49,0),COLUMN(B873))</f>
        <v>M</v>
      </c>
      <c r="K874" s="4" cm="1">
        <f t="array" ref="K874">INDEX(products!$B$2:$E$49,MATCH($D874,products!$A$2:$A$49,0),COLUMN(C873))</f>
        <v>1</v>
      </c>
      <c r="L874" s="5" cm="1">
        <f t="array" ref="L874">INDEX(products!$B$2:$E$49,MATCH($D874,products!$A$2:$A$49,0),COLUMN(D873))</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INDEX(products!$A$1:$G$49,MATCH($D875,products!$A$1:$A$49,0),MATCH(I$1,products!$A$1:$G$1,0))</f>
        <v>Rob</v>
      </c>
      <c r="J875" t="str" cm="1">
        <f t="array" ref="J875">INDEX(products!$B$2:$E$49,MATCH($D875,products!$A$2:$A$49,0),COLUMN(B874))</f>
        <v>M</v>
      </c>
      <c r="K875" s="4" cm="1">
        <f t="array" ref="K875">INDEX(products!$B$2:$E$49,MATCH($D875,products!$A$2:$A$49,0),COLUMN(C874))</f>
        <v>0.2</v>
      </c>
      <c r="L875" s="5" cm="1">
        <f t="array" ref="L875">INDEX(products!$B$2:$E$49,MATCH($D875,products!$A$2:$A$49,0),COLUMN(D874))</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INDEX(products!$A$1:$G$49,MATCH($D876,products!$A$1:$A$49,0),MATCH(I$1,products!$A$1:$G$1,0))</f>
        <v>Ara</v>
      </c>
      <c r="J876" t="str" cm="1">
        <f t="array" ref="J876">INDEX(products!$B$2:$E$49,MATCH($D876,products!$A$2:$A$49,0),COLUMN(B875))</f>
        <v>L</v>
      </c>
      <c r="K876" s="4" cm="1">
        <f t="array" ref="K876">INDEX(products!$B$2:$E$49,MATCH($D876,products!$A$2:$A$49,0),COLUMN(C875))</f>
        <v>1</v>
      </c>
      <c r="L876" s="5" cm="1">
        <f t="array" ref="L876">INDEX(products!$B$2:$E$49,MATCH($D876,products!$A$2:$A$49,0),COLUMN(D875))</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f>
        <v>Orazio Comber</v>
      </c>
      <c r="G877" s="2" t="str">
        <f>IF(_xlfn.XLOOKUP(C877,customers!$A$1:$A$1001,customers!$C$1:$C$1001,,0)=0,"",(_xlfn.XLOOKUP(C877,customers!$A$1:$A$1001,customers!$C$1:$C$1001,,0)))</f>
        <v>ocomberob@goo.gl</v>
      </c>
      <c r="H877" s="2" t="str">
        <f>_xlfn.XLOOKUP(C877,customers!$A$1:$A$1001,customers!$G$1:$G$1001,,0)</f>
        <v>Ireland</v>
      </c>
      <c r="I877" t="str">
        <f>INDEX(products!$A$1:$G$49,MATCH($D877,products!$A$1:$A$49,0),MATCH(I$1,products!$A$1:$G$1,0))</f>
        <v>Lib</v>
      </c>
      <c r="J877" t="str" cm="1">
        <f t="array" ref="J877">INDEX(products!$B$2:$E$49,MATCH($D877,products!$A$2:$A$49,0),COLUMN(B876))</f>
        <v>M</v>
      </c>
      <c r="K877" s="4" cm="1">
        <f t="array" ref="K877">INDEX(products!$B$2:$E$49,MATCH($D877,products!$A$2:$A$49,0),COLUMN(C876))</f>
        <v>0.5</v>
      </c>
      <c r="L877" s="5" cm="1">
        <f t="array" ref="L877">INDEX(products!$B$2:$E$49,MATCH($D877,products!$A$2:$A$49,0),COLUMN(D876))</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f>
        <v>Orazio Comber</v>
      </c>
      <c r="G878" s="2" t="str">
        <f>IF(_xlfn.XLOOKUP(C878,customers!$A$1:$A$1001,customers!$C$1:$C$1001,,0)=0,"",(_xlfn.XLOOKUP(C878,customers!$A$1:$A$1001,customers!$C$1:$C$1001,,0)))</f>
        <v>ocomberob@goo.gl</v>
      </c>
      <c r="H878" s="2" t="str">
        <f>_xlfn.XLOOKUP(C878,customers!$A$1:$A$1001,customers!$G$1:$G$1001,,0)</f>
        <v>Ireland</v>
      </c>
      <c r="I878" t="str">
        <f>INDEX(products!$A$1:$G$49,MATCH($D878,products!$A$1:$A$49,0),MATCH(I$1,products!$A$1:$G$1,0))</f>
        <v>Ara</v>
      </c>
      <c r="J878" t="str" cm="1">
        <f t="array" ref="J878">INDEX(products!$B$2:$E$49,MATCH($D878,products!$A$2:$A$49,0),COLUMN(B877))</f>
        <v>L</v>
      </c>
      <c r="K878" s="4" cm="1">
        <f t="array" ref="K878">INDEX(products!$B$2:$E$49,MATCH($D878,products!$A$2:$A$49,0),COLUMN(C877))</f>
        <v>0.5</v>
      </c>
      <c r="L878" s="5" cm="1">
        <f t="array" ref="L878">INDEX(products!$B$2:$E$49,MATCH($D878,products!$A$2:$A$49,0),COLUMN(D877))</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INDEX(products!$A$1:$G$49,MATCH($D879,products!$A$1:$A$49,0),MATCH(I$1,products!$A$1:$G$1,0))</f>
        <v>Lib</v>
      </c>
      <c r="J879" t="str" cm="1">
        <f t="array" ref="J879">INDEX(products!$B$2:$E$49,MATCH($D879,products!$A$2:$A$49,0),COLUMN(B878))</f>
        <v>L</v>
      </c>
      <c r="K879" s="4" cm="1">
        <f t="array" ref="K879">INDEX(products!$B$2:$E$49,MATCH($D879,products!$A$2:$A$49,0),COLUMN(C878))</f>
        <v>0.5</v>
      </c>
      <c r="L879" s="5" cm="1">
        <f t="array" ref="L879">INDEX(products!$B$2:$E$49,MATCH($D879,products!$A$2:$A$49,0),COLUMN(D878))</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f>
        <v>Izaak Primak</v>
      </c>
      <c r="G880" s="2" t="str">
        <f>IF(_xlfn.XLOOKUP(C880,customers!$A$1:$A$1001,customers!$C$1:$C$1001,,0)=0,"",(_xlfn.XLOOKUP(C880,customers!$A$1:$A$1001,customers!$C$1:$C$1001,,0)))</f>
        <v/>
      </c>
      <c r="H880" s="2" t="str">
        <f>_xlfn.XLOOKUP(C880,customers!$A$1:$A$1001,customers!$G$1:$G$1001,,0)</f>
        <v>United States</v>
      </c>
      <c r="I880" t="str">
        <f>INDEX(products!$A$1:$G$49,MATCH($D880,products!$A$1:$A$49,0),MATCH(I$1,products!$A$1:$G$1,0))</f>
        <v>Rob</v>
      </c>
      <c r="J880" t="str" cm="1">
        <f t="array" ref="J880">INDEX(products!$B$2:$E$49,MATCH($D880,products!$A$2:$A$49,0),COLUMN(B879))</f>
        <v>L</v>
      </c>
      <c r="K880" s="4" cm="1">
        <f t="array" ref="K880">INDEX(products!$B$2:$E$49,MATCH($D880,products!$A$2:$A$49,0),COLUMN(C879))</f>
        <v>2.5</v>
      </c>
      <c r="L880" s="5" cm="1">
        <f t="array" ref="L880">INDEX(products!$B$2:$E$49,MATCH($D880,products!$A$2:$A$49,0),COLUMN(D879))</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f>
        <v>Brittani Thoresbie</v>
      </c>
      <c r="G881" s="2" t="str">
        <f>IF(_xlfn.XLOOKUP(C881,customers!$A$1:$A$1001,customers!$C$1:$C$1001,,0)=0,"",(_xlfn.XLOOKUP(C881,customers!$A$1:$A$1001,customers!$C$1:$C$1001,,0)))</f>
        <v/>
      </c>
      <c r="H881" s="2" t="str">
        <f>_xlfn.XLOOKUP(C881,customers!$A$1:$A$1001,customers!$G$1:$G$1001,,0)</f>
        <v>United States</v>
      </c>
      <c r="I881" t="str">
        <f>INDEX(products!$A$1:$G$49,MATCH($D881,products!$A$1:$A$49,0),MATCH(I$1,products!$A$1:$G$1,0))</f>
        <v>Exc</v>
      </c>
      <c r="J881" t="str" cm="1">
        <f t="array" ref="J881">INDEX(products!$B$2:$E$49,MATCH($D881,products!$A$2:$A$49,0),COLUMN(B880))</f>
        <v>D</v>
      </c>
      <c r="K881" s="4" cm="1">
        <f t="array" ref="K881">INDEX(products!$B$2:$E$49,MATCH($D881,products!$A$2:$A$49,0),COLUMN(C880))</f>
        <v>0.2</v>
      </c>
      <c r="L881" s="5" cm="1">
        <f t="array" ref="L881">INDEX(products!$B$2:$E$49,MATCH($D881,products!$A$2:$A$49,0),COLUMN(D880))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INDEX(products!$A$1:$G$49,MATCH($D882,products!$A$1:$A$49,0),MATCH(I$1,products!$A$1:$G$1,0))</f>
        <v>Rob</v>
      </c>
      <c r="J882" t="str" cm="1">
        <f t="array" ref="J882">INDEX(products!$B$2:$E$49,MATCH($D882,products!$A$2:$A$49,0),COLUMN(B881))</f>
        <v>L</v>
      </c>
      <c r="K882" s="4" cm="1">
        <f t="array" ref="K882">INDEX(products!$B$2:$E$49,MATCH($D882,products!$A$2:$A$49,0),COLUMN(C881))</f>
        <v>0.2</v>
      </c>
      <c r="L882" s="5" cm="1">
        <f t="array" ref="L882">INDEX(products!$B$2:$E$49,MATCH($D882,products!$A$2:$A$49,0),COLUMN(D881))</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f>
        <v>Bobbe Castagneto</v>
      </c>
      <c r="G883" s="2" t="str">
        <f>IF(_xlfn.XLOOKUP(C883,customers!$A$1:$A$1001,customers!$C$1:$C$1001,,0)=0,"",(_xlfn.XLOOKUP(C883,customers!$A$1:$A$1001,customers!$C$1:$C$1001,,0)))</f>
        <v/>
      </c>
      <c r="H883" s="2" t="str">
        <f>_xlfn.XLOOKUP(C883,customers!$A$1:$A$1001,customers!$G$1:$G$1001,,0)</f>
        <v>United States</v>
      </c>
      <c r="I883" t="str">
        <f>INDEX(products!$A$1:$G$49,MATCH($D883,products!$A$1:$A$49,0),MATCH(I$1,products!$A$1:$G$1,0))</f>
        <v>Ara</v>
      </c>
      <c r="J883" t="str" cm="1">
        <f t="array" ref="J883">INDEX(products!$B$2:$E$49,MATCH($D883,products!$A$2:$A$49,0),COLUMN(B882))</f>
        <v>L</v>
      </c>
      <c r="K883" s="4" cm="1">
        <f t="array" ref="K883">INDEX(products!$B$2:$E$49,MATCH($D883,products!$A$2:$A$49,0),COLUMN(C882))</f>
        <v>0.2</v>
      </c>
      <c r="L883" s="5" cm="1">
        <f t="array" ref="L883">INDEX(products!$B$2:$E$49,MATCH($D883,products!$A$2:$A$49,0),COLUMN(D882))</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INDEX(products!$A$1:$G$49,MATCH($D884,products!$A$1:$A$49,0),MATCH(I$1,products!$A$1:$G$1,0))</f>
        <v>Ara</v>
      </c>
      <c r="J884" t="str" cm="1">
        <f t="array" ref="J884">INDEX(products!$B$2:$E$49,MATCH($D884,products!$A$2:$A$49,0),COLUMN(B883))</f>
        <v>D</v>
      </c>
      <c r="K884" s="4" cm="1">
        <f t="array" ref="K884">INDEX(products!$B$2:$E$49,MATCH($D884,products!$A$2:$A$49,0),COLUMN(C883))</f>
        <v>2.5</v>
      </c>
      <c r="L884" s="5" cm="1">
        <f t="array" ref="L884">INDEX(products!$B$2:$E$49,MATCH($D884,products!$A$2:$A$49,0),COLUMN(D883))</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INDEX(products!$A$1:$G$49,MATCH($D885,products!$A$1:$A$49,0),MATCH(I$1,products!$A$1:$G$1,0))</f>
        <v>Ara</v>
      </c>
      <c r="J885" t="str" cm="1">
        <f t="array" ref="J885">INDEX(products!$B$2:$E$49,MATCH($D885,products!$A$2:$A$49,0),COLUMN(B884))</f>
        <v>M</v>
      </c>
      <c r="K885" s="4" cm="1">
        <f t="array" ref="K885">INDEX(products!$B$2:$E$49,MATCH($D885,products!$A$2:$A$49,0),COLUMN(C884))</f>
        <v>2.5</v>
      </c>
      <c r="L885" s="5" cm="1">
        <f t="array" ref="L885">INDEX(products!$B$2:$E$49,MATCH($D885,products!$A$2:$A$49,0),COLUMN(D884))</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INDEX(products!$A$1:$G$49,MATCH($D886,products!$A$1:$A$49,0),MATCH(I$1,products!$A$1:$G$1,0))</f>
        <v>Rob</v>
      </c>
      <c r="J886" t="str" cm="1">
        <f t="array" ref="J886">INDEX(products!$B$2:$E$49,MATCH($D886,products!$A$2:$A$49,0),COLUMN(B885))</f>
        <v>D</v>
      </c>
      <c r="K886" s="4" cm="1">
        <f t="array" ref="K886">INDEX(products!$B$2:$E$49,MATCH($D886,products!$A$2:$A$49,0),COLUMN(C885))</f>
        <v>0.5</v>
      </c>
      <c r="L886" s="5" cm="1">
        <f t="array" ref="L886">INDEX(products!$B$2:$E$49,MATCH($D886,products!$A$2:$A$49,0),COLUMN(D885))</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INDEX(products!$A$1:$G$49,MATCH($D887,products!$A$1:$A$49,0),MATCH(I$1,products!$A$1:$G$1,0))</f>
        <v>Rob</v>
      </c>
      <c r="J887" t="str" cm="1">
        <f t="array" ref="J887">INDEX(products!$B$2:$E$49,MATCH($D887,products!$A$2:$A$49,0),COLUMN(B886))</f>
        <v>D</v>
      </c>
      <c r="K887" s="4" cm="1">
        <f t="array" ref="K887">INDEX(products!$B$2:$E$49,MATCH($D887,products!$A$2:$A$49,0),COLUMN(C886))</f>
        <v>2.5</v>
      </c>
      <c r="L887" s="5" cm="1">
        <f t="array" ref="L887">INDEX(products!$B$2:$E$49,MATCH($D887,products!$A$2:$A$49,0),COLUMN(D886))</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INDEX(products!$A$1:$G$49,MATCH($D888,products!$A$1:$A$49,0),MATCH(I$1,products!$A$1:$G$1,0))</f>
        <v>Lib</v>
      </c>
      <c r="J888" t="str" cm="1">
        <f t="array" ref="J888">INDEX(products!$B$2:$E$49,MATCH($D888,products!$A$2:$A$49,0),COLUMN(B887))</f>
        <v>M</v>
      </c>
      <c r="K888" s="4" cm="1">
        <f t="array" ref="K888">INDEX(products!$B$2:$E$49,MATCH($D888,products!$A$2:$A$49,0),COLUMN(C887))</f>
        <v>0.5</v>
      </c>
      <c r="L888" s="5" cm="1">
        <f t="array" ref="L888">INDEX(products!$B$2:$E$49,MATCH($D888,products!$A$2:$A$49,0),COLUMN(D887))</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INDEX(products!$A$1:$G$49,MATCH($D889,products!$A$1:$A$49,0),MATCH(I$1,products!$A$1:$G$1,0))</f>
        <v>Exc</v>
      </c>
      <c r="J889" t="str" cm="1">
        <f t="array" ref="J889">INDEX(products!$B$2:$E$49,MATCH($D889,products!$A$2:$A$49,0),COLUMN(B888))</f>
        <v>L</v>
      </c>
      <c r="K889" s="4" cm="1">
        <f t="array" ref="K889">INDEX(products!$B$2:$E$49,MATCH($D889,products!$A$2:$A$49,0),COLUMN(C888))</f>
        <v>0.2</v>
      </c>
      <c r="L889" s="5" cm="1">
        <f t="array" ref="L889">INDEX(products!$B$2:$E$49,MATCH($D889,products!$A$2:$A$49,0),COLUMN(D888))</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INDEX(products!$A$1:$G$49,MATCH($D890,products!$A$1:$A$49,0),MATCH(I$1,products!$A$1:$G$1,0))</f>
        <v>Ara</v>
      </c>
      <c r="J890" t="str" cm="1">
        <f t="array" ref="J890">INDEX(products!$B$2:$E$49,MATCH($D890,products!$A$2:$A$49,0),COLUMN(B889))</f>
        <v>L</v>
      </c>
      <c r="K890" s="4" cm="1">
        <f t="array" ref="K890">INDEX(products!$B$2:$E$49,MATCH($D890,products!$A$2:$A$49,0),COLUMN(C889))</f>
        <v>0.2</v>
      </c>
      <c r="L890" s="5" cm="1">
        <f t="array" ref="L890">INDEX(products!$B$2:$E$49,MATCH($D890,products!$A$2:$A$49,0),COLUMN(D889))</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INDEX(products!$A$1:$G$49,MATCH($D891,products!$A$1:$A$49,0),MATCH(I$1,products!$A$1:$G$1,0))</f>
        <v>Rob</v>
      </c>
      <c r="J891" t="str" cm="1">
        <f t="array" ref="J891">INDEX(products!$B$2:$E$49,MATCH($D891,products!$A$2:$A$49,0),COLUMN(B890))</f>
        <v>D</v>
      </c>
      <c r="K891" s="4" cm="1">
        <f t="array" ref="K891">INDEX(products!$B$2:$E$49,MATCH($D891,products!$A$2:$A$49,0),COLUMN(C890))</f>
        <v>0.2</v>
      </c>
      <c r="L891" s="5" cm="1">
        <f t="array" ref="L891">INDEX(products!$B$2:$E$49,MATCH($D891,products!$A$2:$A$49,0),COLUMN(D890))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INDEX(products!$A$1:$G$49,MATCH($D892,products!$A$1:$A$49,0),MATCH(I$1,products!$A$1:$G$1,0))</f>
        <v>Rob</v>
      </c>
      <c r="J892" t="str" cm="1">
        <f t="array" ref="J892">INDEX(products!$B$2:$E$49,MATCH($D892,products!$A$2:$A$49,0),COLUMN(B891))</f>
        <v>D</v>
      </c>
      <c r="K892" s="4" cm="1">
        <f t="array" ref="K892">INDEX(products!$B$2:$E$49,MATCH($D892,products!$A$2:$A$49,0),COLUMN(C891))</f>
        <v>2.5</v>
      </c>
      <c r="L892" s="5" cm="1">
        <f t="array" ref="L892">INDEX(products!$B$2:$E$49,MATCH($D892,products!$A$2:$A$49,0),COLUMN(D891))</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INDEX(products!$A$1:$G$49,MATCH($D893,products!$A$1:$A$49,0),MATCH(I$1,products!$A$1:$G$1,0))</f>
        <v>Ara</v>
      </c>
      <c r="J893" t="str" cm="1">
        <f t="array" ref="J893">INDEX(products!$B$2:$E$49,MATCH($D893,products!$A$2:$A$49,0),COLUMN(B892))</f>
        <v>D</v>
      </c>
      <c r="K893" s="4" cm="1">
        <f t="array" ref="K893">INDEX(products!$B$2:$E$49,MATCH($D893,products!$A$2:$A$49,0),COLUMN(C892))</f>
        <v>2.5</v>
      </c>
      <c r="L893" s="5" cm="1">
        <f t="array" ref="L893">INDEX(products!$B$2:$E$49,MATCH($D893,products!$A$2:$A$49,0),COLUMN(D892))</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INDEX(products!$A$1:$G$49,MATCH($D894,products!$A$1:$A$49,0),MATCH(I$1,products!$A$1:$G$1,0))</f>
        <v>Exc</v>
      </c>
      <c r="J894" t="str" cm="1">
        <f t="array" ref="J894">INDEX(products!$B$2:$E$49,MATCH($D894,products!$A$2:$A$49,0),COLUMN(B893))</f>
        <v>M</v>
      </c>
      <c r="K894" s="4" cm="1">
        <f t="array" ref="K894">INDEX(products!$B$2:$E$49,MATCH($D894,products!$A$2:$A$49,0),COLUMN(C893))</f>
        <v>0.2</v>
      </c>
      <c r="L894" s="5" cm="1">
        <f t="array" ref="L894">INDEX(products!$B$2:$E$49,MATCH($D894,products!$A$2:$A$49,0),COLUMN(D893))</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INDEX(products!$A$1:$G$49,MATCH($D895,products!$A$1:$A$49,0),MATCH(I$1,products!$A$1:$G$1,0))</f>
        <v>Lib</v>
      </c>
      <c r="J895" t="str" cm="1">
        <f t="array" ref="J895">INDEX(products!$B$2:$E$49,MATCH($D895,products!$A$2:$A$49,0),COLUMN(B894))</f>
        <v>L</v>
      </c>
      <c r="K895" s="4" cm="1">
        <f t="array" ref="K895">INDEX(products!$B$2:$E$49,MATCH($D895,products!$A$2:$A$49,0),COLUMN(C894))</f>
        <v>0.5</v>
      </c>
      <c r="L895" s="5" cm="1">
        <f t="array" ref="L895">INDEX(products!$B$2:$E$49,MATCH($D895,products!$A$2:$A$49,0),COLUMN(D894))</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f>
        <v>Sharity Wickens</v>
      </c>
      <c r="G896" s="2" t="str">
        <f>IF(_xlfn.XLOOKUP(C896,customers!$A$1:$A$1001,customers!$C$1:$C$1001,,0)=0,"",(_xlfn.XLOOKUP(C896,customers!$A$1:$A$1001,customers!$C$1:$C$1001,,0)))</f>
        <v/>
      </c>
      <c r="H896" s="2" t="str">
        <f>_xlfn.XLOOKUP(C896,customers!$A$1:$A$1001,customers!$G$1:$G$1001,,0)</f>
        <v>Ireland</v>
      </c>
      <c r="I896" t="str">
        <f>INDEX(products!$A$1:$G$49,MATCH($D896,products!$A$1:$A$49,0),MATCH(I$1,products!$A$1:$G$1,0))</f>
        <v>Rob</v>
      </c>
      <c r="J896" t="str" cm="1">
        <f t="array" ref="J896">INDEX(products!$B$2:$E$49,MATCH($D896,products!$A$2:$A$49,0),COLUMN(B895))</f>
        <v>D</v>
      </c>
      <c r="K896" s="4" cm="1">
        <f t="array" ref="K896">INDEX(products!$B$2:$E$49,MATCH($D896,products!$A$2:$A$49,0),COLUMN(C895))</f>
        <v>2.5</v>
      </c>
      <c r="L896" s="5" cm="1">
        <f t="array" ref="L896">INDEX(products!$B$2:$E$49,MATCH($D896,products!$A$2:$A$49,0),COLUMN(D895))</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f>
        <v>Derick Snow</v>
      </c>
      <c r="G897" s="2" t="str">
        <f>IF(_xlfn.XLOOKUP(C897,customers!$A$1:$A$1001,customers!$C$1:$C$1001,,0)=0,"",(_xlfn.XLOOKUP(C897,customers!$A$1:$A$1001,customers!$C$1:$C$1001,,0)))</f>
        <v/>
      </c>
      <c r="H897" s="2" t="str">
        <f>_xlfn.XLOOKUP(C897,customers!$A$1:$A$1001,customers!$G$1:$G$1001,,0)</f>
        <v>United States</v>
      </c>
      <c r="I897" t="str">
        <f>INDEX(products!$A$1:$G$49,MATCH($D897,products!$A$1:$A$49,0),MATCH(I$1,products!$A$1:$G$1,0))</f>
        <v>Exc</v>
      </c>
      <c r="J897" t="str" cm="1">
        <f t="array" ref="J897">INDEX(products!$B$2:$E$49,MATCH($D897,products!$A$2:$A$49,0),COLUMN(B896))</f>
        <v>M</v>
      </c>
      <c r="K897" s="4" cm="1">
        <f t="array" ref="K897">INDEX(products!$B$2:$E$49,MATCH($D897,products!$A$2:$A$49,0),COLUMN(C896))</f>
        <v>2.5</v>
      </c>
      <c r="L897" s="5" cm="1">
        <f t="array" ref="L897">INDEX(products!$B$2:$E$49,MATCH($D897,products!$A$2:$A$49,0),COLUMN(D896))</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INDEX(products!$A$1:$G$49,MATCH($D898,products!$A$1:$A$49,0),MATCH(I$1,products!$A$1:$G$1,0))</f>
        <v>Rob</v>
      </c>
      <c r="J898" t="str" cm="1">
        <f t="array" ref="J898">INDEX(products!$B$2:$E$49,MATCH($D898,products!$A$2:$A$49,0),COLUMN(B897))</f>
        <v>D</v>
      </c>
      <c r="K898" s="4" cm="1">
        <f t="array" ref="K898">INDEX(products!$B$2:$E$49,MATCH($D898,products!$A$2:$A$49,0),COLUMN(C897))</f>
        <v>0.5</v>
      </c>
      <c r="L898" s="5" cm="1">
        <f t="array" ref="L898">INDEX(products!$B$2:$E$49,MATCH($D898,products!$A$2:$A$49,0),COLUMN(D897))</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INDEX(products!$A$1:$G$49,MATCH($D899,products!$A$1:$A$49,0),MATCH(I$1,products!$A$1:$G$1,0))</f>
        <v>Exc</v>
      </c>
      <c r="J899" t="str" cm="1">
        <f t="array" ref="J899">INDEX(products!$B$2:$E$49,MATCH($D899,products!$A$2:$A$49,0),COLUMN(B898))</f>
        <v>D</v>
      </c>
      <c r="K899" s="4" cm="1">
        <f t="array" ref="K899">INDEX(products!$B$2:$E$49,MATCH($D899,products!$A$2:$A$49,0),COLUMN(C898))</f>
        <v>1</v>
      </c>
      <c r="L899" s="5" cm="1">
        <f t="array" ref="L899">INDEX(products!$B$2:$E$49,MATCH($D899,products!$A$2:$A$49,0),COLUMN(D898))</f>
        <v>12.15</v>
      </c>
      <c r="M899" s="5">
        <f t="shared" ref="M899:M962" si="42">E899*L899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f>
        <v>Daryn Cassius</v>
      </c>
      <c r="G900" s="2" t="str">
        <f>IF(_xlfn.XLOOKUP(C900,customers!$A$1:$A$1001,customers!$C$1:$C$1001,,0)=0,"",(_xlfn.XLOOKUP(C900,customers!$A$1:$A$1001,customers!$C$1:$C$1001,,0)))</f>
        <v/>
      </c>
      <c r="H900" s="2" t="str">
        <f>_xlfn.XLOOKUP(C900,customers!$A$1:$A$1001,customers!$G$1:$G$1001,,0)</f>
        <v>United States</v>
      </c>
      <c r="I900" t="str">
        <f>INDEX(products!$A$1:$G$49,MATCH($D900,products!$A$1:$A$49,0),MATCH(I$1,products!$A$1:$G$1,0))</f>
        <v>Rob</v>
      </c>
      <c r="J900" t="str" cm="1">
        <f t="array" ref="J900">INDEX(products!$B$2:$E$49,MATCH($D900,products!$A$2:$A$49,0),COLUMN(B899))</f>
        <v>L</v>
      </c>
      <c r="K900" s="4" cm="1">
        <f t="array" ref="K900">INDEX(products!$B$2:$E$49,MATCH($D900,products!$A$2:$A$49,0),COLUMN(C899))</f>
        <v>0.5</v>
      </c>
      <c r="L900" s="5" cm="1">
        <f t="array" ref="L900">INDEX(products!$B$2:$E$49,MATCH($D900,products!$A$2:$A$49,0),COLUMN(D899))</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f>
        <v>Derick Snow</v>
      </c>
      <c r="G901" s="2" t="str">
        <f>IF(_xlfn.XLOOKUP(C901,customers!$A$1:$A$1001,customers!$C$1:$C$1001,,0)=0,"",(_xlfn.XLOOKUP(C901,customers!$A$1:$A$1001,customers!$C$1:$C$1001,,0)))</f>
        <v/>
      </c>
      <c r="H901" s="2" t="str">
        <f>_xlfn.XLOOKUP(C901,customers!$A$1:$A$1001,customers!$G$1:$G$1001,,0)</f>
        <v>United States</v>
      </c>
      <c r="I901" t="str">
        <f>INDEX(products!$A$1:$G$49,MATCH($D901,products!$A$1:$A$49,0),MATCH(I$1,products!$A$1:$G$1,0))</f>
        <v>Lib</v>
      </c>
      <c r="J901" t="str" cm="1">
        <f t="array" ref="J901">INDEX(products!$B$2:$E$49,MATCH($D901,products!$A$2:$A$49,0),COLUMN(B900))</f>
        <v>M</v>
      </c>
      <c r="K901" s="4" cm="1">
        <f t="array" ref="K901">INDEX(products!$B$2:$E$49,MATCH($D901,products!$A$2:$A$49,0),COLUMN(C900))</f>
        <v>1</v>
      </c>
      <c r="L901" s="5" cm="1">
        <f t="array" ref="L901">INDEX(products!$B$2:$E$49,MATCH($D901,products!$A$2:$A$49,0),COLUMN(D900))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f>
        <v>Skelly Dolohunty</v>
      </c>
      <c r="G902" s="2" t="str">
        <f>IF(_xlfn.XLOOKUP(C902,customers!$A$1:$A$1001,customers!$C$1:$C$1001,,0)=0,"",(_xlfn.XLOOKUP(C902,customers!$A$1:$A$1001,customers!$C$1:$C$1001,,0)))</f>
        <v/>
      </c>
      <c r="H902" s="2" t="str">
        <f>_xlfn.XLOOKUP(C902,customers!$A$1:$A$1001,customers!$G$1:$G$1001,,0)</f>
        <v>Ireland</v>
      </c>
      <c r="I902" t="str">
        <f>INDEX(products!$A$1:$G$49,MATCH($D902,products!$A$1:$A$49,0),MATCH(I$1,products!$A$1:$G$1,0))</f>
        <v>Lib</v>
      </c>
      <c r="J902" t="str" cm="1">
        <f t="array" ref="J902">INDEX(products!$B$2:$E$49,MATCH($D902,products!$A$2:$A$49,0),COLUMN(B901))</f>
        <v>L</v>
      </c>
      <c r="K902" s="4" cm="1">
        <f t="array" ref="K902">INDEX(products!$B$2:$E$49,MATCH($D902,products!$A$2:$A$49,0),COLUMN(C901))</f>
        <v>1</v>
      </c>
      <c r="L902" s="5" cm="1">
        <f t="array" ref="L902">INDEX(products!$B$2:$E$49,MATCH($D902,products!$A$2:$A$49,0),COLUMN(D901))</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INDEX(products!$A$1:$G$49,MATCH($D903,products!$A$1:$A$49,0),MATCH(I$1,products!$A$1:$G$1,0))</f>
        <v>Rob</v>
      </c>
      <c r="J903" t="str" cm="1">
        <f t="array" ref="J903">INDEX(products!$B$2:$E$49,MATCH($D903,products!$A$2:$A$49,0),COLUMN(B902))</f>
        <v>L</v>
      </c>
      <c r="K903" s="4" cm="1">
        <f t="array" ref="K903">INDEX(products!$B$2:$E$49,MATCH($D903,products!$A$2:$A$49,0),COLUMN(C902))</f>
        <v>0.2</v>
      </c>
      <c r="L903" s="5" cm="1">
        <f t="array" ref="L903">INDEX(products!$B$2:$E$49,MATCH($D903,products!$A$2:$A$49,0),COLUMN(D902))</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INDEX(products!$A$1:$G$49,MATCH($D904,products!$A$1:$A$49,0),MATCH(I$1,products!$A$1:$G$1,0))</f>
        <v>Exc</v>
      </c>
      <c r="J904" t="str" cm="1">
        <f t="array" ref="J904">INDEX(products!$B$2:$E$49,MATCH($D904,products!$A$2:$A$49,0),COLUMN(B903))</f>
        <v>M</v>
      </c>
      <c r="K904" s="4" cm="1">
        <f t="array" ref="K904">INDEX(products!$B$2:$E$49,MATCH($D904,products!$A$2:$A$49,0),COLUMN(C903))</f>
        <v>2.5</v>
      </c>
      <c r="L904" s="5" cm="1">
        <f t="array" ref="L904">INDEX(products!$B$2:$E$49,MATCH($D904,products!$A$2:$A$49,0),COLUMN(D903))</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INDEX(products!$A$1:$G$49,MATCH($D905,products!$A$1:$A$49,0),MATCH(I$1,products!$A$1:$G$1,0))</f>
        <v>Lib</v>
      </c>
      <c r="J905" t="str" cm="1">
        <f t="array" ref="J905">INDEX(products!$B$2:$E$49,MATCH($D905,products!$A$2:$A$49,0),COLUMN(B904))</f>
        <v>M</v>
      </c>
      <c r="K905" s="4" cm="1">
        <f t="array" ref="K905">INDEX(products!$B$2:$E$49,MATCH($D905,products!$A$2:$A$49,0),COLUMN(C904))</f>
        <v>0.5</v>
      </c>
      <c r="L905" s="5" cm="1">
        <f t="array" ref="L905">INDEX(products!$B$2:$E$49,MATCH($D905,products!$A$2:$A$49,0),COLUMN(D904))</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INDEX(products!$A$1:$G$49,MATCH($D906,products!$A$1:$A$49,0),MATCH(I$1,products!$A$1:$G$1,0))</f>
        <v>Ara</v>
      </c>
      <c r="J906" t="str" cm="1">
        <f t="array" ref="J906">INDEX(products!$B$2:$E$49,MATCH($D906,products!$A$2:$A$49,0),COLUMN(B905))</f>
        <v>L</v>
      </c>
      <c r="K906" s="4" cm="1">
        <f t="array" ref="K906">INDEX(products!$B$2:$E$49,MATCH($D906,products!$A$2:$A$49,0),COLUMN(C905))</f>
        <v>2.5</v>
      </c>
      <c r="L906" s="5" cm="1">
        <f t="array" ref="L906">INDEX(products!$B$2:$E$49,MATCH($D906,products!$A$2:$A$49,0),COLUMN(D905))</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f>
        <v>Darcy Lochran</v>
      </c>
      <c r="G907" s="2" t="str">
        <f>IF(_xlfn.XLOOKUP(C907,customers!$A$1:$A$1001,customers!$C$1:$C$1001,,0)=0,"",(_xlfn.XLOOKUP(C907,customers!$A$1:$A$1001,customers!$C$1:$C$1001,,0)))</f>
        <v/>
      </c>
      <c r="H907" s="2" t="str">
        <f>_xlfn.XLOOKUP(C907,customers!$A$1:$A$1001,customers!$G$1:$G$1001,,0)</f>
        <v>United States</v>
      </c>
      <c r="I907" t="str">
        <f>INDEX(products!$A$1:$G$49,MATCH($D907,products!$A$1:$A$49,0),MATCH(I$1,products!$A$1:$G$1,0))</f>
        <v>Ara</v>
      </c>
      <c r="J907" t="str" cm="1">
        <f t="array" ref="J907">INDEX(products!$B$2:$E$49,MATCH($D907,products!$A$2:$A$49,0),COLUMN(B906))</f>
        <v>M</v>
      </c>
      <c r="K907" s="4" cm="1">
        <f t="array" ref="K907">INDEX(products!$B$2:$E$49,MATCH($D907,products!$A$2:$A$49,0),COLUMN(C906))</f>
        <v>0.5</v>
      </c>
      <c r="L907" s="5" cm="1">
        <f t="array" ref="L907">INDEX(products!$B$2:$E$49,MATCH($D907,products!$A$2:$A$49,0),COLUMN(D906))</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INDEX(products!$A$1:$G$49,MATCH($D908,products!$A$1:$A$49,0),MATCH(I$1,products!$A$1:$G$1,0))</f>
        <v>Ara</v>
      </c>
      <c r="J908" t="str" cm="1">
        <f t="array" ref="J908">INDEX(products!$B$2:$E$49,MATCH($D908,products!$A$2:$A$49,0),COLUMN(B907))</f>
        <v>M</v>
      </c>
      <c r="K908" s="4" cm="1">
        <f t="array" ref="K908">INDEX(products!$B$2:$E$49,MATCH($D908,products!$A$2:$A$49,0),COLUMN(C907))</f>
        <v>0.5</v>
      </c>
      <c r="L908" s="5" cm="1">
        <f t="array" ref="L908">INDEX(products!$B$2:$E$49,MATCH($D908,products!$A$2:$A$49,0),COLUMN(D907))</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INDEX(products!$A$1:$G$49,MATCH($D909,products!$A$1:$A$49,0),MATCH(I$1,products!$A$1:$G$1,0))</f>
        <v>Lib</v>
      </c>
      <c r="J909" t="str" cm="1">
        <f t="array" ref="J909">INDEX(products!$B$2:$E$49,MATCH($D909,products!$A$2:$A$49,0),COLUMN(B908))</f>
        <v>D</v>
      </c>
      <c r="K909" s="4" cm="1">
        <f t="array" ref="K909">INDEX(products!$B$2:$E$49,MATCH($D909,products!$A$2:$A$49,0),COLUMN(C908))</f>
        <v>1</v>
      </c>
      <c r="L909" s="5" cm="1">
        <f t="array" ref="L909">INDEX(products!$B$2:$E$49,MATCH($D909,products!$A$2:$A$49,0),COLUMN(D908))</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INDEX(products!$A$1:$G$49,MATCH($D910,products!$A$1:$A$49,0),MATCH(I$1,products!$A$1:$G$1,0))</f>
        <v>Rob</v>
      </c>
      <c r="J910" t="str" cm="1">
        <f t="array" ref="J910">INDEX(products!$B$2:$E$49,MATCH($D910,products!$A$2:$A$49,0),COLUMN(B909))</f>
        <v>L</v>
      </c>
      <c r="K910" s="4" cm="1">
        <f t="array" ref="K910">INDEX(products!$B$2:$E$49,MATCH($D910,products!$A$2:$A$49,0),COLUMN(C909))</f>
        <v>1</v>
      </c>
      <c r="L910" s="5" cm="1">
        <f t="array" ref="L910">INDEX(products!$B$2:$E$49,MATCH($D910,products!$A$2:$A$49,0),COLUMN(D909))</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f>
        <v>Bobbe Renner</v>
      </c>
      <c r="G911" s="2" t="str">
        <f>IF(_xlfn.XLOOKUP(C911,customers!$A$1:$A$1001,customers!$C$1:$C$1001,,0)=0,"",(_xlfn.XLOOKUP(C911,customers!$A$1:$A$1001,customers!$C$1:$C$1001,,0)))</f>
        <v/>
      </c>
      <c r="H911" s="2" t="str">
        <f>_xlfn.XLOOKUP(C911,customers!$A$1:$A$1001,customers!$G$1:$G$1001,,0)</f>
        <v>United States</v>
      </c>
      <c r="I911" t="str">
        <f>INDEX(products!$A$1:$G$49,MATCH($D911,products!$A$1:$A$49,0),MATCH(I$1,products!$A$1:$G$1,0))</f>
        <v>Rob</v>
      </c>
      <c r="J911" t="str" cm="1">
        <f t="array" ref="J911">INDEX(products!$B$2:$E$49,MATCH($D911,products!$A$2:$A$49,0),COLUMN(B910))</f>
        <v>L</v>
      </c>
      <c r="K911" s="4" cm="1">
        <f t="array" ref="K911">INDEX(products!$B$2:$E$49,MATCH($D911,products!$A$2:$A$49,0),COLUMN(C910))</f>
        <v>0.2</v>
      </c>
      <c r="L911" s="5" cm="1">
        <f t="array" ref="L911">INDEX(products!$B$2:$E$49,MATCH($D911,products!$A$2:$A$49,0),COLUMN(D910))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INDEX(products!$A$1:$G$49,MATCH($D912,products!$A$1:$A$49,0),MATCH(I$1,products!$A$1:$G$1,0))</f>
        <v>Ara</v>
      </c>
      <c r="J912" t="str" cm="1">
        <f t="array" ref="J912">INDEX(products!$B$2:$E$49,MATCH($D912,products!$A$2:$A$49,0),COLUMN(B911))</f>
        <v>D</v>
      </c>
      <c r="K912" s="4" cm="1">
        <f t="array" ref="K912">INDEX(products!$B$2:$E$49,MATCH($D912,products!$A$2:$A$49,0),COLUMN(C911))</f>
        <v>2.5</v>
      </c>
      <c r="L912" s="5" cm="1">
        <f t="array" ref="L912">INDEX(products!$B$2:$E$49,MATCH($D912,products!$A$2:$A$49,0),COLUMN(D911))</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INDEX(products!$A$1:$G$49,MATCH($D913,products!$A$1:$A$49,0),MATCH(I$1,products!$A$1:$G$1,0))</f>
        <v>Ara</v>
      </c>
      <c r="J913" t="str" cm="1">
        <f t="array" ref="J913">INDEX(products!$B$2:$E$49,MATCH($D913,products!$A$2:$A$49,0),COLUMN(B912))</f>
        <v>M</v>
      </c>
      <c r="K913" s="4" cm="1">
        <f t="array" ref="K913">INDEX(products!$B$2:$E$49,MATCH($D913,products!$A$2:$A$49,0),COLUMN(C912))</f>
        <v>1</v>
      </c>
      <c r="L913" s="5" cm="1">
        <f t="array" ref="L913">INDEX(products!$B$2:$E$49,MATCH($D913,products!$A$2:$A$49,0),COLUMN(D912))</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f>
        <v>Paulie Fonzone</v>
      </c>
      <c r="G914" s="2" t="str">
        <f>IF(_xlfn.XLOOKUP(C914,customers!$A$1:$A$1001,customers!$C$1:$C$1001,,0)=0,"",(_xlfn.XLOOKUP(C914,customers!$A$1:$A$1001,customers!$C$1:$C$1001,,0)))</f>
        <v/>
      </c>
      <c r="H914" s="2" t="str">
        <f>_xlfn.XLOOKUP(C914,customers!$A$1:$A$1001,customers!$G$1:$G$1001,,0)</f>
        <v>United States</v>
      </c>
      <c r="I914" t="str">
        <f>INDEX(products!$A$1:$G$49,MATCH($D914,products!$A$1:$A$49,0),MATCH(I$1,products!$A$1:$G$1,0))</f>
        <v>Rob</v>
      </c>
      <c r="J914" t="str" cm="1">
        <f t="array" ref="J914">INDEX(products!$B$2:$E$49,MATCH($D914,products!$A$2:$A$49,0),COLUMN(B913))</f>
        <v>M</v>
      </c>
      <c r="K914" s="4" cm="1">
        <f t="array" ref="K914">INDEX(products!$B$2:$E$49,MATCH($D914,products!$A$2:$A$49,0),COLUMN(C913))</f>
        <v>2.5</v>
      </c>
      <c r="L914" s="5" cm="1">
        <f t="array" ref="L914">INDEX(products!$B$2:$E$49,MATCH($D914,products!$A$2:$A$49,0),COLUMN(D913))</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INDEX(products!$A$1:$G$49,MATCH($D915,products!$A$1:$A$49,0),MATCH(I$1,products!$A$1:$G$1,0))</f>
        <v>Ara</v>
      </c>
      <c r="J915" t="str" cm="1">
        <f t="array" ref="J915">INDEX(products!$B$2:$E$49,MATCH($D915,products!$A$2:$A$49,0),COLUMN(B914))</f>
        <v>M</v>
      </c>
      <c r="K915" s="4" cm="1">
        <f t="array" ref="K915">INDEX(products!$B$2:$E$49,MATCH($D915,products!$A$2:$A$49,0),COLUMN(C914))</f>
        <v>0.5</v>
      </c>
      <c r="L915" s="5" cm="1">
        <f t="array" ref="L915">INDEX(products!$B$2:$E$49,MATCH($D915,products!$A$2:$A$49,0),COLUMN(D914))</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INDEX(products!$A$1:$G$49,MATCH($D916,products!$A$1:$A$49,0),MATCH(I$1,products!$A$1:$G$1,0))</f>
        <v>Ara</v>
      </c>
      <c r="J916" t="str" cm="1">
        <f t="array" ref="J916">INDEX(products!$B$2:$E$49,MATCH($D916,products!$A$2:$A$49,0),COLUMN(B915))</f>
        <v>M</v>
      </c>
      <c r="K916" s="4" cm="1">
        <f t="array" ref="K916">INDEX(products!$B$2:$E$49,MATCH($D916,products!$A$2:$A$49,0),COLUMN(C915))</f>
        <v>1</v>
      </c>
      <c r="L916" s="5" cm="1">
        <f t="array" ref="L916">INDEX(products!$B$2:$E$49,MATCH($D916,products!$A$2:$A$49,0),COLUMN(D915))</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INDEX(products!$A$1:$G$49,MATCH($D917,products!$A$1:$A$49,0),MATCH(I$1,products!$A$1:$G$1,0))</f>
        <v>Exc</v>
      </c>
      <c r="J917" t="str" cm="1">
        <f t="array" ref="J917">INDEX(products!$B$2:$E$49,MATCH($D917,products!$A$2:$A$49,0),COLUMN(B916))</f>
        <v>D</v>
      </c>
      <c r="K917" s="4" cm="1">
        <f t="array" ref="K917">INDEX(products!$B$2:$E$49,MATCH($D917,products!$A$2:$A$49,0),COLUMN(C916))</f>
        <v>2.5</v>
      </c>
      <c r="L917" s="5" cm="1">
        <f t="array" ref="L917">INDEX(products!$B$2:$E$49,MATCH($D917,products!$A$2:$A$49,0),COLUMN(D916))</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f>
        <v>Harland Trematick</v>
      </c>
      <c r="G918" s="2" t="str">
        <f>IF(_xlfn.XLOOKUP(C918,customers!$A$1:$A$1001,customers!$C$1:$C$1001,,0)=0,"",(_xlfn.XLOOKUP(C918,customers!$A$1:$A$1001,customers!$C$1:$C$1001,,0)))</f>
        <v/>
      </c>
      <c r="H918" s="2" t="str">
        <f>_xlfn.XLOOKUP(C918,customers!$A$1:$A$1001,customers!$G$1:$G$1001,,0)</f>
        <v>Ireland</v>
      </c>
      <c r="I918" t="str">
        <f>INDEX(products!$A$1:$G$49,MATCH($D918,products!$A$1:$A$49,0),MATCH(I$1,products!$A$1:$G$1,0))</f>
        <v>Exc</v>
      </c>
      <c r="J918" t="str" cm="1">
        <f t="array" ref="J918">INDEX(products!$B$2:$E$49,MATCH($D918,products!$A$2:$A$49,0),COLUMN(B917))</f>
        <v>D</v>
      </c>
      <c r="K918" s="4" cm="1">
        <f t="array" ref="K918">INDEX(products!$B$2:$E$49,MATCH($D918,products!$A$2:$A$49,0),COLUMN(C917))</f>
        <v>0.2</v>
      </c>
      <c r="L918" s="5" cm="1">
        <f t="array" ref="L918">INDEX(products!$B$2:$E$49,MATCH($D918,products!$A$2:$A$49,0),COLUMN(D917))</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INDEX(products!$A$1:$G$49,MATCH($D919,products!$A$1:$A$49,0),MATCH(I$1,products!$A$1:$G$1,0))</f>
        <v>Ara</v>
      </c>
      <c r="J919" t="str" cm="1">
        <f t="array" ref="J919">INDEX(products!$B$2:$E$49,MATCH($D919,products!$A$2:$A$49,0),COLUMN(B918))</f>
        <v>M</v>
      </c>
      <c r="K919" s="4" cm="1">
        <f t="array" ref="K919">INDEX(products!$B$2:$E$49,MATCH($D919,products!$A$2:$A$49,0),COLUMN(C918))</f>
        <v>0.5</v>
      </c>
      <c r="L919" s="5" cm="1">
        <f t="array" ref="L919">INDEX(products!$B$2:$E$49,MATCH($D919,products!$A$2:$A$49,0),COLUMN(D918))</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INDEX(products!$A$1:$G$49,MATCH($D920,products!$A$1:$A$49,0),MATCH(I$1,products!$A$1:$G$1,0))</f>
        <v>Exc</v>
      </c>
      <c r="J920" t="str" cm="1">
        <f t="array" ref="J920">INDEX(products!$B$2:$E$49,MATCH($D920,products!$A$2:$A$49,0),COLUMN(B919))</f>
        <v>D</v>
      </c>
      <c r="K920" s="4" cm="1">
        <f t="array" ref="K920">INDEX(products!$B$2:$E$49,MATCH($D920,products!$A$2:$A$49,0),COLUMN(C919))</f>
        <v>0.5</v>
      </c>
      <c r="L920" s="5" cm="1">
        <f t="array" ref="L920">INDEX(products!$B$2:$E$49,MATCH($D920,products!$A$2:$A$49,0),COLUMN(D919))</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INDEX(products!$A$1:$G$49,MATCH($D921,products!$A$1:$A$49,0),MATCH(I$1,products!$A$1:$G$1,0))</f>
        <v>Rob</v>
      </c>
      <c r="J921" t="str" cm="1">
        <f t="array" ref="J921">INDEX(products!$B$2:$E$49,MATCH($D921,products!$A$2:$A$49,0),COLUMN(B920))</f>
        <v>D</v>
      </c>
      <c r="K921" s="4" cm="1">
        <f t="array" ref="K921">INDEX(products!$B$2:$E$49,MATCH($D921,products!$A$2:$A$49,0),COLUMN(C920))</f>
        <v>0.2</v>
      </c>
      <c r="L921" s="5" cm="1">
        <f t="array" ref="L921">INDEX(products!$B$2:$E$49,MATCH($D921,products!$A$2:$A$49,0),COLUMN(D920))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INDEX(products!$A$1:$G$49,MATCH($D922,products!$A$1:$A$49,0),MATCH(I$1,products!$A$1:$G$1,0))</f>
        <v>Rob</v>
      </c>
      <c r="J922" t="str" cm="1">
        <f t="array" ref="J922">INDEX(products!$B$2:$E$49,MATCH($D922,products!$A$2:$A$49,0),COLUMN(B921))</f>
        <v>D</v>
      </c>
      <c r="K922" s="4" cm="1">
        <f t="array" ref="K922">INDEX(products!$B$2:$E$49,MATCH($D922,products!$A$2:$A$49,0),COLUMN(C921))</f>
        <v>2.5</v>
      </c>
      <c r="L922" s="5" cm="1">
        <f t="array" ref="L922">INDEX(products!$B$2:$E$49,MATCH($D922,products!$A$2:$A$49,0),COLUMN(D921))</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INDEX(products!$A$1:$G$49,MATCH($D923,products!$A$1:$A$49,0),MATCH(I$1,products!$A$1:$G$1,0))</f>
        <v>Lib</v>
      </c>
      <c r="J923" t="str" cm="1">
        <f t="array" ref="J923">INDEX(products!$B$2:$E$49,MATCH($D923,products!$A$2:$A$49,0),COLUMN(B922))</f>
        <v>D</v>
      </c>
      <c r="K923" s="4" cm="1">
        <f t="array" ref="K923">INDEX(products!$B$2:$E$49,MATCH($D923,products!$A$2:$A$49,0),COLUMN(C922))</f>
        <v>0.2</v>
      </c>
      <c r="L923" s="5" cm="1">
        <f t="array" ref="L923">INDEX(products!$B$2:$E$49,MATCH($D923,products!$A$2:$A$49,0),COLUMN(D922))</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f>
        <v>Charin Maplethorp</v>
      </c>
      <c r="G924" s="2" t="str">
        <f>IF(_xlfn.XLOOKUP(C924,customers!$A$1:$A$1001,customers!$C$1:$C$1001,,0)=0,"",(_xlfn.XLOOKUP(C924,customers!$A$1:$A$1001,customers!$C$1:$C$1001,,0)))</f>
        <v/>
      </c>
      <c r="H924" s="2" t="str">
        <f>_xlfn.XLOOKUP(C924,customers!$A$1:$A$1001,customers!$G$1:$G$1001,,0)</f>
        <v>United States</v>
      </c>
      <c r="I924" t="str">
        <f>INDEX(products!$A$1:$G$49,MATCH($D924,products!$A$1:$A$49,0),MATCH(I$1,products!$A$1:$G$1,0))</f>
        <v>Ara</v>
      </c>
      <c r="J924" t="str" cm="1">
        <f t="array" ref="J924">INDEX(products!$B$2:$E$49,MATCH($D924,products!$A$2:$A$49,0),COLUMN(B923))</f>
        <v>M</v>
      </c>
      <c r="K924" s="4" cm="1">
        <f t="array" ref="K924">INDEX(products!$B$2:$E$49,MATCH($D924,products!$A$2:$A$49,0),COLUMN(C923))</f>
        <v>1</v>
      </c>
      <c r="L924" s="5" cm="1">
        <f t="array" ref="L924">INDEX(products!$B$2:$E$49,MATCH($D924,products!$A$2:$A$49,0),COLUMN(D923))</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INDEX(products!$A$1:$G$49,MATCH($D925,products!$A$1:$A$49,0),MATCH(I$1,products!$A$1:$G$1,0))</f>
        <v>Exc</v>
      </c>
      <c r="J925" t="str" cm="1">
        <f t="array" ref="J925">INDEX(products!$B$2:$E$49,MATCH($D925,products!$A$2:$A$49,0),COLUMN(B924))</f>
        <v>D</v>
      </c>
      <c r="K925" s="4" cm="1">
        <f t="array" ref="K925">INDEX(products!$B$2:$E$49,MATCH($D925,products!$A$2:$A$49,0),COLUMN(C924))</f>
        <v>2.5</v>
      </c>
      <c r="L925" s="5" cm="1">
        <f t="array" ref="L925">INDEX(products!$B$2:$E$49,MATCH($D925,products!$A$2:$A$49,0),COLUMN(D924))</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INDEX(products!$A$1:$G$49,MATCH($D926,products!$A$1:$A$49,0),MATCH(I$1,products!$A$1:$G$1,0))</f>
        <v>Ara</v>
      </c>
      <c r="J926" t="str" cm="1">
        <f t="array" ref="J926">INDEX(products!$B$2:$E$49,MATCH($D926,products!$A$2:$A$49,0),COLUMN(B925))</f>
        <v>L</v>
      </c>
      <c r="K926" s="4" cm="1">
        <f t="array" ref="K926">INDEX(products!$B$2:$E$49,MATCH($D926,products!$A$2:$A$49,0),COLUMN(C925))</f>
        <v>2.5</v>
      </c>
      <c r="L926" s="5" cm="1">
        <f t="array" ref="L926">INDEX(products!$B$2:$E$49,MATCH($D926,products!$A$2:$A$49,0),COLUMN(D925))</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f>
        <v>Derick Snow</v>
      </c>
      <c r="G927" s="2" t="str">
        <f>IF(_xlfn.XLOOKUP(C927,customers!$A$1:$A$1001,customers!$C$1:$C$1001,,0)=0,"",(_xlfn.XLOOKUP(C927,customers!$A$1:$A$1001,customers!$C$1:$C$1001,,0)))</f>
        <v/>
      </c>
      <c r="H927" s="2" t="str">
        <f>_xlfn.XLOOKUP(C927,customers!$A$1:$A$1001,customers!$G$1:$G$1001,,0)</f>
        <v>United States</v>
      </c>
      <c r="I927" t="str">
        <f>INDEX(products!$A$1:$G$49,MATCH($D927,products!$A$1:$A$49,0),MATCH(I$1,products!$A$1:$G$1,0))</f>
        <v>Ara</v>
      </c>
      <c r="J927" t="str" cm="1">
        <f t="array" ref="J927">INDEX(products!$B$2:$E$49,MATCH($D927,products!$A$2:$A$49,0),COLUMN(B926))</f>
        <v>M</v>
      </c>
      <c r="K927" s="4" cm="1">
        <f t="array" ref="K927">INDEX(products!$B$2:$E$49,MATCH($D927,products!$A$2:$A$49,0),COLUMN(C926))</f>
        <v>0.5</v>
      </c>
      <c r="L927" s="5" cm="1">
        <f t="array" ref="L927">INDEX(products!$B$2:$E$49,MATCH($D927,products!$A$2:$A$49,0),COLUMN(D926))</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INDEX(products!$A$1:$G$49,MATCH($D928,products!$A$1:$A$49,0),MATCH(I$1,products!$A$1:$G$1,0))</f>
        <v>Ara</v>
      </c>
      <c r="J928" t="str" cm="1">
        <f t="array" ref="J928">INDEX(products!$B$2:$E$49,MATCH($D928,products!$A$2:$A$49,0),COLUMN(B927))</f>
        <v>M</v>
      </c>
      <c r="K928" s="4" cm="1">
        <f t="array" ref="K928">INDEX(products!$B$2:$E$49,MATCH($D928,products!$A$2:$A$49,0),COLUMN(C927))</f>
        <v>0.5</v>
      </c>
      <c r="L928" s="5" cm="1">
        <f t="array" ref="L928">INDEX(products!$B$2:$E$49,MATCH($D928,products!$A$2:$A$49,0),COLUMN(D927))</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INDEX(products!$A$1:$G$49,MATCH($D929,products!$A$1:$A$49,0),MATCH(I$1,products!$A$1:$G$1,0))</f>
        <v>Exc</v>
      </c>
      <c r="J929" t="str" cm="1">
        <f t="array" ref="J929">INDEX(products!$B$2:$E$49,MATCH($D929,products!$A$2:$A$49,0),COLUMN(B928))</f>
        <v>D</v>
      </c>
      <c r="K929" s="4" cm="1">
        <f t="array" ref="K929">INDEX(products!$B$2:$E$49,MATCH($D929,products!$A$2:$A$49,0),COLUMN(C928))</f>
        <v>2.5</v>
      </c>
      <c r="L929" s="5" cm="1">
        <f t="array" ref="L929">INDEX(products!$B$2:$E$49,MATCH($D929,products!$A$2:$A$49,0),COLUMN(D928))</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INDEX(products!$A$1:$G$49,MATCH($D930,products!$A$1:$A$49,0),MATCH(I$1,products!$A$1:$G$1,0))</f>
        <v>Exc</v>
      </c>
      <c r="J930" t="str" cm="1">
        <f t="array" ref="J930">INDEX(products!$B$2:$E$49,MATCH($D930,products!$A$2:$A$49,0),COLUMN(B929))</f>
        <v>M</v>
      </c>
      <c r="K930" s="4" cm="1">
        <f t="array" ref="K930">INDEX(products!$B$2:$E$49,MATCH($D930,products!$A$2:$A$49,0),COLUMN(C929))</f>
        <v>2.5</v>
      </c>
      <c r="L930" s="5" cm="1">
        <f t="array" ref="L930">INDEX(products!$B$2:$E$49,MATCH($D930,products!$A$2:$A$49,0),COLUMN(D929))</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INDEX(products!$A$1:$G$49,MATCH($D931,products!$A$1:$A$49,0),MATCH(I$1,products!$A$1:$G$1,0))</f>
        <v>Exc</v>
      </c>
      <c r="J931" t="str" cm="1">
        <f t="array" ref="J931">INDEX(products!$B$2:$E$49,MATCH($D931,products!$A$2:$A$49,0),COLUMN(B930))</f>
        <v>L</v>
      </c>
      <c r="K931" s="4" cm="1">
        <f t="array" ref="K931">INDEX(products!$B$2:$E$49,MATCH($D931,products!$A$2:$A$49,0),COLUMN(C930))</f>
        <v>0.2</v>
      </c>
      <c r="L931" s="5" cm="1">
        <f t="array" ref="L931">INDEX(products!$B$2:$E$49,MATCH($D931,products!$A$2:$A$49,0),COLUMN(D930))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INDEX(products!$A$1:$G$49,MATCH($D932,products!$A$1:$A$49,0),MATCH(I$1,products!$A$1:$G$1,0))</f>
        <v>Exc</v>
      </c>
      <c r="J932" t="str" cm="1">
        <f t="array" ref="J932">INDEX(products!$B$2:$E$49,MATCH($D932,products!$A$2:$A$49,0),COLUMN(B931))</f>
        <v>D</v>
      </c>
      <c r="K932" s="4" cm="1">
        <f t="array" ref="K932">INDEX(products!$B$2:$E$49,MATCH($D932,products!$A$2:$A$49,0),COLUMN(C931))</f>
        <v>1</v>
      </c>
      <c r="L932" s="5" cm="1">
        <f t="array" ref="L932">INDEX(products!$B$2:$E$49,MATCH($D932,products!$A$2:$A$49,0),COLUMN(D931))</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f>
        <v>Mallory Shrimpling</v>
      </c>
      <c r="G933" s="2" t="str">
        <f>IF(_xlfn.XLOOKUP(C933,customers!$A$1:$A$1001,customers!$C$1:$C$1001,,0)=0,"",(_xlfn.XLOOKUP(C933,customers!$A$1:$A$1001,customers!$C$1:$C$1001,,0)))</f>
        <v/>
      </c>
      <c r="H933" s="2" t="str">
        <f>_xlfn.XLOOKUP(C933,customers!$A$1:$A$1001,customers!$G$1:$G$1001,,0)</f>
        <v>United States</v>
      </c>
      <c r="I933" t="str">
        <f>INDEX(products!$A$1:$G$49,MATCH($D933,products!$A$1:$A$49,0),MATCH(I$1,products!$A$1:$G$1,0))</f>
        <v>Ara</v>
      </c>
      <c r="J933" t="str" cm="1">
        <f t="array" ref="J933">INDEX(products!$B$2:$E$49,MATCH($D933,products!$A$2:$A$49,0),COLUMN(B932))</f>
        <v>D</v>
      </c>
      <c r="K933" s="4" cm="1">
        <f t="array" ref="K933">INDEX(products!$B$2:$E$49,MATCH($D933,products!$A$2:$A$49,0),COLUMN(C932))</f>
        <v>0.5</v>
      </c>
      <c r="L933" s="5" cm="1">
        <f t="array" ref="L933">INDEX(products!$B$2:$E$49,MATCH($D933,products!$A$2:$A$49,0),COLUMN(D932))</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INDEX(products!$A$1:$G$49,MATCH($D934,products!$A$1:$A$49,0),MATCH(I$1,products!$A$1:$G$1,0))</f>
        <v>Exc</v>
      </c>
      <c r="J934" t="str" cm="1">
        <f t="array" ref="J934">INDEX(products!$B$2:$E$49,MATCH($D934,products!$A$2:$A$49,0),COLUMN(B933))</f>
        <v>M</v>
      </c>
      <c r="K934" s="4" cm="1">
        <f t="array" ref="K934">INDEX(products!$B$2:$E$49,MATCH($D934,products!$A$2:$A$49,0),COLUMN(C933))</f>
        <v>1</v>
      </c>
      <c r="L934" s="5" cm="1">
        <f t="array" ref="L934">INDEX(products!$B$2:$E$49,MATCH($D934,products!$A$2:$A$49,0),COLUMN(D933))</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f>
        <v>Brenn Dundredge</v>
      </c>
      <c r="G935" s="2" t="str">
        <f>IF(_xlfn.XLOOKUP(C935,customers!$A$1:$A$1001,customers!$C$1:$C$1001,,0)=0,"",(_xlfn.XLOOKUP(C935,customers!$A$1:$A$1001,customers!$C$1:$C$1001,,0)))</f>
        <v/>
      </c>
      <c r="H935" s="2" t="str">
        <f>_xlfn.XLOOKUP(C935,customers!$A$1:$A$1001,customers!$G$1:$G$1001,,0)</f>
        <v>United States</v>
      </c>
      <c r="I935" t="str">
        <f>INDEX(products!$A$1:$G$49,MATCH($D935,products!$A$1:$A$49,0),MATCH(I$1,products!$A$1:$G$1,0))</f>
        <v>Rob</v>
      </c>
      <c r="J935" t="str" cm="1">
        <f t="array" ref="J935">INDEX(products!$B$2:$E$49,MATCH($D935,products!$A$2:$A$49,0),COLUMN(B934))</f>
        <v>D</v>
      </c>
      <c r="K935" s="4" cm="1">
        <f t="array" ref="K935">INDEX(products!$B$2:$E$49,MATCH($D935,products!$A$2:$A$49,0),COLUMN(C934))</f>
        <v>1</v>
      </c>
      <c r="L935" s="5" cm="1">
        <f t="array" ref="L935">INDEX(products!$B$2:$E$49,MATCH($D935,products!$A$2:$A$49,0),COLUMN(D934))</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INDEX(products!$A$1:$G$49,MATCH($D936,products!$A$1:$A$49,0),MATCH(I$1,products!$A$1:$G$1,0))</f>
        <v>Rob</v>
      </c>
      <c r="J936" t="str" cm="1">
        <f t="array" ref="J936">INDEX(products!$B$2:$E$49,MATCH($D936,products!$A$2:$A$49,0),COLUMN(B935))</f>
        <v>M</v>
      </c>
      <c r="K936" s="4" cm="1">
        <f t="array" ref="K936">INDEX(products!$B$2:$E$49,MATCH($D936,products!$A$2:$A$49,0),COLUMN(C935))</f>
        <v>2.5</v>
      </c>
      <c r="L936" s="5" cm="1">
        <f t="array" ref="L936">INDEX(products!$B$2:$E$49,MATCH($D936,products!$A$2:$A$49,0),COLUMN(D935))</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INDEX(products!$A$1:$G$49,MATCH($D937,products!$A$1:$A$49,0),MATCH(I$1,products!$A$1:$G$1,0))</f>
        <v>Ara</v>
      </c>
      <c r="J937" t="str" cm="1">
        <f t="array" ref="J937">INDEX(products!$B$2:$E$49,MATCH($D937,products!$A$2:$A$49,0),COLUMN(B936))</f>
        <v>M</v>
      </c>
      <c r="K937" s="4" cm="1">
        <f t="array" ref="K937">INDEX(products!$B$2:$E$49,MATCH($D937,products!$A$2:$A$49,0),COLUMN(C936))</f>
        <v>2.5</v>
      </c>
      <c r="L937" s="5" cm="1">
        <f t="array" ref="L937">INDEX(products!$B$2:$E$49,MATCH($D937,products!$A$2:$A$49,0),COLUMN(D936))</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INDEX(products!$A$1:$G$49,MATCH($D938,products!$A$1:$A$49,0),MATCH(I$1,products!$A$1:$G$1,0))</f>
        <v>Lib</v>
      </c>
      <c r="J938" t="str" cm="1">
        <f t="array" ref="J938">INDEX(products!$B$2:$E$49,MATCH($D938,products!$A$2:$A$49,0),COLUMN(B937))</f>
        <v>D</v>
      </c>
      <c r="K938" s="4" cm="1">
        <f t="array" ref="K938">INDEX(products!$B$2:$E$49,MATCH($D938,products!$A$2:$A$49,0),COLUMN(C937))</f>
        <v>0.5</v>
      </c>
      <c r="L938" s="5" cm="1">
        <f t="array" ref="L938">INDEX(products!$B$2:$E$49,MATCH($D938,products!$A$2:$A$49,0),COLUMN(D937))</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INDEX(products!$A$1:$G$49,MATCH($D939,products!$A$1:$A$49,0),MATCH(I$1,products!$A$1:$G$1,0))</f>
        <v>Rob</v>
      </c>
      <c r="J939" t="str" cm="1">
        <f t="array" ref="J939">INDEX(products!$B$2:$E$49,MATCH($D939,products!$A$2:$A$49,0),COLUMN(B938))</f>
        <v>M</v>
      </c>
      <c r="K939" s="4" cm="1">
        <f t="array" ref="K939">INDEX(products!$B$2:$E$49,MATCH($D939,products!$A$2:$A$49,0),COLUMN(C938))</f>
        <v>2.5</v>
      </c>
      <c r="L939" s="5" cm="1">
        <f t="array" ref="L939">INDEX(products!$B$2:$E$49,MATCH($D939,products!$A$2:$A$49,0),COLUMN(D938))</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f>
        <v>Dell Gut</v>
      </c>
      <c r="G940" s="2" t="str">
        <f>IF(_xlfn.XLOOKUP(C940,customers!$A$1:$A$1001,customers!$C$1:$C$1001,,0)=0,"",(_xlfn.XLOOKUP(C940,customers!$A$1:$A$1001,customers!$C$1:$C$1001,,0)))</f>
        <v>dgutq2@umich.edu</v>
      </c>
      <c r="H940" s="2" t="str">
        <f>_xlfn.XLOOKUP(C940,customers!$A$1:$A$1001,customers!$G$1:$G$1001,,0)</f>
        <v>United States</v>
      </c>
      <c r="I940" t="str">
        <f>INDEX(products!$A$1:$G$49,MATCH($D940,products!$A$1:$A$49,0),MATCH(I$1,products!$A$1:$G$1,0))</f>
        <v>Exc</v>
      </c>
      <c r="J940" t="str" cm="1">
        <f t="array" ref="J940">INDEX(products!$B$2:$E$49,MATCH($D940,products!$A$2:$A$49,0),COLUMN(B939))</f>
        <v>L</v>
      </c>
      <c r="K940" s="4" cm="1">
        <f t="array" ref="K940">INDEX(products!$B$2:$E$49,MATCH($D940,products!$A$2:$A$49,0),COLUMN(C939))</f>
        <v>1</v>
      </c>
      <c r="L940" s="5" cm="1">
        <f t="array" ref="L940">INDEX(products!$B$2:$E$49,MATCH($D940,products!$A$2:$A$49,0),COLUMN(D939))</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INDEX(products!$A$1:$G$49,MATCH($D941,products!$A$1:$A$49,0),MATCH(I$1,products!$A$1:$G$1,0))</f>
        <v>Lib</v>
      </c>
      <c r="J941" t="str" cm="1">
        <f t="array" ref="J941">INDEX(products!$B$2:$E$49,MATCH($D941,products!$A$2:$A$49,0),COLUMN(B940))</f>
        <v>L</v>
      </c>
      <c r="K941" s="4" cm="1">
        <f t="array" ref="K941">INDEX(products!$B$2:$E$49,MATCH($D941,products!$A$2:$A$49,0),COLUMN(C940))</f>
        <v>0.2</v>
      </c>
      <c r="L941" s="5" cm="1">
        <f t="array" ref="L941">INDEX(products!$B$2:$E$49,MATCH($D941,products!$A$2:$A$49,0),COLUMN(D940))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INDEX(products!$A$1:$G$49,MATCH($D942,products!$A$1:$A$49,0),MATCH(I$1,products!$A$1:$G$1,0))</f>
        <v>Rob</v>
      </c>
      <c r="J942" t="str" cm="1">
        <f t="array" ref="J942">INDEX(products!$B$2:$E$49,MATCH($D942,products!$A$2:$A$49,0),COLUMN(B941))</f>
        <v>L</v>
      </c>
      <c r="K942" s="4" cm="1">
        <f t="array" ref="K942">INDEX(products!$B$2:$E$49,MATCH($D942,products!$A$2:$A$49,0),COLUMN(C941))</f>
        <v>0.5</v>
      </c>
      <c r="L942" s="5" cm="1">
        <f t="array" ref="L942">INDEX(products!$B$2:$E$49,MATCH($D942,products!$A$2:$A$49,0),COLUMN(D941))</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INDEX(products!$A$1:$G$49,MATCH($D943,products!$A$1:$A$49,0),MATCH(I$1,products!$A$1:$G$1,0))</f>
        <v>Ara</v>
      </c>
      <c r="J943" t="str" cm="1">
        <f t="array" ref="J943">INDEX(products!$B$2:$E$49,MATCH($D943,products!$A$2:$A$49,0),COLUMN(B942))</f>
        <v>L</v>
      </c>
      <c r="K943" s="4" cm="1">
        <f t="array" ref="K943">INDEX(products!$B$2:$E$49,MATCH($D943,products!$A$2:$A$49,0),COLUMN(C942))</f>
        <v>0.5</v>
      </c>
      <c r="L943" s="5" cm="1">
        <f t="array" ref="L943">INDEX(products!$B$2:$E$49,MATCH($D943,products!$A$2:$A$49,0),COLUMN(D942))</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INDEX(products!$A$1:$G$49,MATCH($D944,products!$A$1:$A$49,0),MATCH(I$1,products!$A$1:$G$1,0))</f>
        <v>Rob</v>
      </c>
      <c r="J944" t="str" cm="1">
        <f t="array" ref="J944">INDEX(products!$B$2:$E$49,MATCH($D944,products!$A$2:$A$49,0),COLUMN(B943))</f>
        <v>L</v>
      </c>
      <c r="K944" s="4" cm="1">
        <f t="array" ref="K944">INDEX(products!$B$2:$E$49,MATCH($D944,products!$A$2:$A$49,0),COLUMN(C943))</f>
        <v>1</v>
      </c>
      <c r="L944" s="5" cm="1">
        <f t="array" ref="L944">INDEX(products!$B$2:$E$49,MATCH($D944,products!$A$2:$A$49,0),COLUMN(D943))</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INDEX(products!$A$1:$G$49,MATCH($D945,products!$A$1:$A$49,0),MATCH(I$1,products!$A$1:$G$1,0))</f>
        <v>Ara</v>
      </c>
      <c r="J945" t="str" cm="1">
        <f t="array" ref="J945">INDEX(products!$B$2:$E$49,MATCH($D945,products!$A$2:$A$49,0),COLUMN(B944))</f>
        <v>L</v>
      </c>
      <c r="K945" s="4" cm="1">
        <f t="array" ref="K945">INDEX(products!$B$2:$E$49,MATCH($D945,products!$A$2:$A$49,0),COLUMN(C944))</f>
        <v>0.5</v>
      </c>
      <c r="L945" s="5" cm="1">
        <f t="array" ref="L945">INDEX(products!$B$2:$E$49,MATCH($D945,products!$A$2:$A$49,0),COLUMN(D944))</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INDEX(products!$A$1:$G$49,MATCH($D946,products!$A$1:$A$49,0),MATCH(I$1,products!$A$1:$G$1,0))</f>
        <v>Rob</v>
      </c>
      <c r="J946" t="str" cm="1">
        <f t="array" ref="J946">INDEX(products!$B$2:$E$49,MATCH($D946,products!$A$2:$A$49,0),COLUMN(B945))</f>
        <v>L</v>
      </c>
      <c r="K946" s="4" cm="1">
        <f t="array" ref="K946">INDEX(products!$B$2:$E$49,MATCH($D946,products!$A$2:$A$49,0),COLUMN(C945))</f>
        <v>0.5</v>
      </c>
      <c r="L946" s="5" cm="1">
        <f t="array" ref="L946">INDEX(products!$B$2:$E$49,MATCH($D946,products!$A$2:$A$49,0),COLUMN(D945))</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f>
        <v>Jaimie Hatz</v>
      </c>
      <c r="G947" s="2" t="str">
        <f>IF(_xlfn.XLOOKUP(C947,customers!$A$1:$A$1001,customers!$C$1:$C$1001,,0)=0,"",(_xlfn.XLOOKUP(C947,customers!$A$1:$A$1001,customers!$C$1:$C$1001,,0)))</f>
        <v/>
      </c>
      <c r="H947" s="2" t="str">
        <f>_xlfn.XLOOKUP(C947,customers!$A$1:$A$1001,customers!$G$1:$G$1001,,0)</f>
        <v>United States</v>
      </c>
      <c r="I947" t="str">
        <f>INDEX(products!$A$1:$G$49,MATCH($D947,products!$A$1:$A$49,0),MATCH(I$1,products!$A$1:$G$1,0))</f>
        <v>Lib</v>
      </c>
      <c r="J947" t="str" cm="1">
        <f t="array" ref="J947">INDEX(products!$B$2:$E$49,MATCH($D947,products!$A$2:$A$49,0),COLUMN(B946))</f>
        <v>D</v>
      </c>
      <c r="K947" s="4" cm="1">
        <f t="array" ref="K947">INDEX(products!$B$2:$E$49,MATCH($D947,products!$A$2:$A$49,0),COLUMN(C946))</f>
        <v>2.5</v>
      </c>
      <c r="L947" s="5" cm="1">
        <f t="array" ref="L947">INDEX(products!$B$2:$E$49,MATCH($D947,products!$A$2:$A$49,0),COLUMN(D946))</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f>
        <v>Edeline Edney</v>
      </c>
      <c r="G948" s="2" t="str">
        <f>IF(_xlfn.XLOOKUP(C948,customers!$A$1:$A$1001,customers!$C$1:$C$1001,,0)=0,"",(_xlfn.XLOOKUP(C948,customers!$A$1:$A$1001,customers!$C$1:$C$1001,,0)))</f>
        <v/>
      </c>
      <c r="H948" s="2" t="str">
        <f>_xlfn.XLOOKUP(C948,customers!$A$1:$A$1001,customers!$G$1:$G$1001,,0)</f>
        <v>United States</v>
      </c>
      <c r="I948" t="str">
        <f>INDEX(products!$A$1:$G$49,MATCH($D948,products!$A$1:$A$49,0),MATCH(I$1,products!$A$1:$G$1,0))</f>
        <v>Lib</v>
      </c>
      <c r="J948" t="str" cm="1">
        <f t="array" ref="J948">INDEX(products!$B$2:$E$49,MATCH($D948,products!$A$2:$A$49,0),COLUMN(B947))</f>
        <v>D</v>
      </c>
      <c r="K948" s="4" cm="1">
        <f t="array" ref="K948">INDEX(products!$B$2:$E$49,MATCH($D948,products!$A$2:$A$49,0),COLUMN(C947))</f>
        <v>0.5</v>
      </c>
      <c r="L948" s="5" cm="1">
        <f t="array" ref="L948">INDEX(products!$B$2:$E$49,MATCH($D948,products!$A$2:$A$49,0),COLUMN(D947))</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f>
        <v>Rickie Faltin</v>
      </c>
      <c r="G949" s="2" t="str">
        <f>IF(_xlfn.XLOOKUP(C949,customers!$A$1:$A$1001,customers!$C$1:$C$1001,,0)=0,"",(_xlfn.XLOOKUP(C949,customers!$A$1:$A$1001,customers!$C$1:$C$1001,,0)))</f>
        <v>rfaltinqb@topsy.com</v>
      </c>
      <c r="H949" s="2" t="str">
        <f>_xlfn.XLOOKUP(C949,customers!$A$1:$A$1001,customers!$G$1:$G$1001,,0)</f>
        <v>Ireland</v>
      </c>
      <c r="I949" t="str">
        <f>INDEX(products!$A$1:$G$49,MATCH($D949,products!$A$1:$A$49,0),MATCH(I$1,products!$A$1:$G$1,0))</f>
        <v>Ara</v>
      </c>
      <c r="J949" t="str" cm="1">
        <f t="array" ref="J949">INDEX(products!$B$2:$E$49,MATCH($D949,products!$A$2:$A$49,0),COLUMN(B948))</f>
        <v>M</v>
      </c>
      <c r="K949" s="4" cm="1">
        <f t="array" ref="K949">INDEX(products!$B$2:$E$49,MATCH($D949,products!$A$2:$A$49,0),COLUMN(C948))</f>
        <v>1</v>
      </c>
      <c r="L949" s="5" cm="1">
        <f t="array" ref="L949">INDEX(products!$B$2:$E$49,MATCH($D949,products!$A$2:$A$49,0),COLUMN(D948))</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INDEX(products!$A$1:$G$49,MATCH($D950,products!$A$1:$A$49,0),MATCH(I$1,products!$A$1:$G$1,0))</f>
        <v>Exc</v>
      </c>
      <c r="J950" t="str" cm="1">
        <f t="array" ref="J950">INDEX(products!$B$2:$E$49,MATCH($D950,products!$A$2:$A$49,0),COLUMN(B949))</f>
        <v>D</v>
      </c>
      <c r="K950" s="4" cm="1">
        <f t="array" ref="K950">INDEX(products!$B$2:$E$49,MATCH($D950,products!$A$2:$A$49,0),COLUMN(C949))</f>
        <v>2.5</v>
      </c>
      <c r="L950" s="5" cm="1">
        <f t="array" ref="L950">INDEX(products!$B$2:$E$49,MATCH($D950,products!$A$2:$A$49,0),COLUMN(D949))</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f>
        <v>Gwenni Ratt</v>
      </c>
      <c r="G951" s="2" t="str">
        <f>IF(_xlfn.XLOOKUP(C951,customers!$A$1:$A$1001,customers!$C$1:$C$1001,,0)=0,"",(_xlfn.XLOOKUP(C951,customers!$A$1:$A$1001,customers!$C$1:$C$1001,,0)))</f>
        <v>grattqd@phpbb.com</v>
      </c>
      <c r="H951" s="2" t="str">
        <f>_xlfn.XLOOKUP(C951,customers!$A$1:$A$1001,customers!$G$1:$G$1001,,0)</f>
        <v>Ireland</v>
      </c>
      <c r="I951" t="str">
        <f>INDEX(products!$A$1:$G$49,MATCH($D951,products!$A$1:$A$49,0),MATCH(I$1,products!$A$1:$G$1,0))</f>
        <v>Rob</v>
      </c>
      <c r="J951" t="str" cm="1">
        <f t="array" ref="J951">INDEX(products!$B$2:$E$49,MATCH($D951,products!$A$2:$A$49,0),COLUMN(B950))</f>
        <v>L</v>
      </c>
      <c r="K951" s="4" cm="1">
        <f t="array" ref="K951">INDEX(products!$B$2:$E$49,MATCH($D951,products!$A$2:$A$49,0),COLUMN(C950))</f>
        <v>2.5</v>
      </c>
      <c r="L951" s="5" cm="1">
        <f t="array" ref="L951">INDEX(products!$B$2:$E$49,MATCH($D951,products!$A$2:$A$49,0),COLUMN(D950))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f>
        <v>Johnath Fairebrother</v>
      </c>
      <c r="G952" s="2" t="str">
        <f>IF(_xlfn.XLOOKUP(C952,customers!$A$1:$A$1001,customers!$C$1:$C$1001,,0)=0,"",(_xlfn.XLOOKUP(C952,customers!$A$1:$A$1001,customers!$C$1:$C$1001,,0)))</f>
        <v/>
      </c>
      <c r="H952" s="2" t="str">
        <f>_xlfn.XLOOKUP(C952,customers!$A$1:$A$1001,customers!$G$1:$G$1001,,0)</f>
        <v>United States</v>
      </c>
      <c r="I952" t="str">
        <f>INDEX(products!$A$1:$G$49,MATCH($D952,products!$A$1:$A$49,0),MATCH(I$1,products!$A$1:$G$1,0))</f>
        <v>Rob</v>
      </c>
      <c r="J952" t="str" cm="1">
        <f t="array" ref="J952">INDEX(products!$B$2:$E$49,MATCH($D952,products!$A$2:$A$49,0),COLUMN(B951))</f>
        <v>L</v>
      </c>
      <c r="K952" s="4" cm="1">
        <f t="array" ref="K952">INDEX(products!$B$2:$E$49,MATCH($D952,products!$A$2:$A$49,0),COLUMN(C951))</f>
        <v>0.2</v>
      </c>
      <c r="L952" s="5" cm="1">
        <f t="array" ref="L952">INDEX(products!$B$2:$E$49,MATCH($D952,products!$A$2:$A$49,0),COLUMN(D951))</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INDEX(products!$A$1:$G$49,MATCH($D953,products!$A$1:$A$49,0),MATCH(I$1,products!$A$1:$G$1,0))</f>
        <v>Rob</v>
      </c>
      <c r="J953" t="str" cm="1">
        <f t="array" ref="J953">INDEX(products!$B$2:$E$49,MATCH($D953,products!$A$2:$A$49,0),COLUMN(B952))</f>
        <v>L</v>
      </c>
      <c r="K953" s="4" cm="1">
        <f t="array" ref="K953">INDEX(products!$B$2:$E$49,MATCH($D953,products!$A$2:$A$49,0),COLUMN(C952))</f>
        <v>0.2</v>
      </c>
      <c r="L953" s="5" cm="1">
        <f t="array" ref="L953">INDEX(products!$B$2:$E$49,MATCH($D953,products!$A$2:$A$49,0),COLUMN(D952))</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f>
        <v>Jilly Dreng</v>
      </c>
      <c r="G954" s="2" t="str">
        <f>IF(_xlfn.XLOOKUP(C954,customers!$A$1:$A$1001,customers!$C$1:$C$1001,,0)=0,"",(_xlfn.XLOOKUP(C954,customers!$A$1:$A$1001,customers!$C$1:$C$1001,,0)))</f>
        <v>jdrengqg@uiuc.edu</v>
      </c>
      <c r="H954" s="2" t="str">
        <f>_xlfn.XLOOKUP(C954,customers!$A$1:$A$1001,customers!$G$1:$G$1001,,0)</f>
        <v>Ireland</v>
      </c>
      <c r="I954" t="str">
        <f>INDEX(products!$A$1:$G$49,MATCH($D954,products!$A$1:$A$49,0),MATCH(I$1,products!$A$1:$G$1,0))</f>
        <v>Ara</v>
      </c>
      <c r="J954" t="str" cm="1">
        <f t="array" ref="J954">INDEX(products!$B$2:$E$49,MATCH($D954,products!$A$2:$A$49,0),COLUMN(B953))</f>
        <v>M</v>
      </c>
      <c r="K954" s="4" cm="1">
        <f t="array" ref="K954">INDEX(products!$B$2:$E$49,MATCH($D954,products!$A$2:$A$49,0),COLUMN(C953))</f>
        <v>1</v>
      </c>
      <c r="L954" s="5" cm="1">
        <f t="array" ref="L954">INDEX(products!$B$2:$E$49,MATCH($D954,products!$A$2:$A$49,0),COLUMN(D953))</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f>
        <v>Brenn Dundredge</v>
      </c>
      <c r="G955" s="2" t="str">
        <f>IF(_xlfn.XLOOKUP(C955,customers!$A$1:$A$1001,customers!$C$1:$C$1001,,0)=0,"",(_xlfn.XLOOKUP(C955,customers!$A$1:$A$1001,customers!$C$1:$C$1001,,0)))</f>
        <v/>
      </c>
      <c r="H955" s="2" t="str">
        <f>_xlfn.XLOOKUP(C955,customers!$A$1:$A$1001,customers!$G$1:$G$1001,,0)</f>
        <v>United States</v>
      </c>
      <c r="I955" t="str">
        <f>INDEX(products!$A$1:$G$49,MATCH($D955,products!$A$1:$A$49,0),MATCH(I$1,products!$A$1:$G$1,0))</f>
        <v>Ara</v>
      </c>
      <c r="J955" t="str" cm="1">
        <f t="array" ref="J955">INDEX(products!$B$2:$E$49,MATCH($D955,products!$A$2:$A$49,0),COLUMN(B954))</f>
        <v>L</v>
      </c>
      <c r="K955" s="4" cm="1">
        <f t="array" ref="K955">INDEX(products!$B$2:$E$49,MATCH($D955,products!$A$2:$A$49,0),COLUMN(C954))</f>
        <v>0.2</v>
      </c>
      <c r="L955" s="5" cm="1">
        <f t="array" ref="L955">INDEX(products!$B$2:$E$49,MATCH($D955,products!$A$2:$A$49,0),COLUMN(D954))</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f>
        <v>Brenn Dundredge</v>
      </c>
      <c r="G956" s="2" t="str">
        <f>IF(_xlfn.XLOOKUP(C956,customers!$A$1:$A$1001,customers!$C$1:$C$1001,,0)=0,"",(_xlfn.XLOOKUP(C956,customers!$A$1:$A$1001,customers!$C$1:$C$1001,,0)))</f>
        <v/>
      </c>
      <c r="H956" s="2" t="str">
        <f>_xlfn.XLOOKUP(C956,customers!$A$1:$A$1001,customers!$G$1:$G$1001,,0)</f>
        <v>United States</v>
      </c>
      <c r="I956" t="str">
        <f>INDEX(products!$A$1:$G$49,MATCH($D956,products!$A$1:$A$49,0),MATCH(I$1,products!$A$1:$G$1,0))</f>
        <v>Exc</v>
      </c>
      <c r="J956" t="str" cm="1">
        <f t="array" ref="J956">INDEX(products!$B$2:$E$49,MATCH($D956,products!$A$2:$A$49,0),COLUMN(B955))</f>
        <v>D</v>
      </c>
      <c r="K956" s="4" cm="1">
        <f t="array" ref="K956">INDEX(products!$B$2:$E$49,MATCH($D956,products!$A$2:$A$49,0),COLUMN(C955))</f>
        <v>2.5</v>
      </c>
      <c r="L956" s="5" cm="1">
        <f t="array" ref="L956">INDEX(products!$B$2:$E$49,MATCH($D956,products!$A$2:$A$49,0),COLUMN(D955))</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f>
        <v>Brenn Dundredge</v>
      </c>
      <c r="G957" s="2" t="str">
        <f>IF(_xlfn.XLOOKUP(C957,customers!$A$1:$A$1001,customers!$C$1:$C$1001,,0)=0,"",(_xlfn.XLOOKUP(C957,customers!$A$1:$A$1001,customers!$C$1:$C$1001,,0)))</f>
        <v/>
      </c>
      <c r="H957" s="2" t="str">
        <f>_xlfn.XLOOKUP(C957,customers!$A$1:$A$1001,customers!$G$1:$G$1001,,0)</f>
        <v>United States</v>
      </c>
      <c r="I957" t="str">
        <f>INDEX(products!$A$1:$G$49,MATCH($D957,products!$A$1:$A$49,0),MATCH(I$1,products!$A$1:$G$1,0))</f>
        <v>Exc</v>
      </c>
      <c r="J957" t="str" cm="1">
        <f t="array" ref="J957">INDEX(products!$B$2:$E$49,MATCH($D957,products!$A$2:$A$49,0),COLUMN(B956))</f>
        <v>L</v>
      </c>
      <c r="K957" s="4" cm="1">
        <f t="array" ref="K957">INDEX(products!$B$2:$E$49,MATCH($D957,products!$A$2:$A$49,0),COLUMN(C956))</f>
        <v>2.5</v>
      </c>
      <c r="L957" s="5" cm="1">
        <f t="array" ref="L957">INDEX(products!$B$2:$E$49,MATCH($D957,products!$A$2:$A$49,0),COLUMN(D956))</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f>
        <v>Brenn Dundredge</v>
      </c>
      <c r="G958" s="2" t="str">
        <f>IF(_xlfn.XLOOKUP(C958,customers!$A$1:$A$1001,customers!$C$1:$C$1001,,0)=0,"",(_xlfn.XLOOKUP(C958,customers!$A$1:$A$1001,customers!$C$1:$C$1001,,0)))</f>
        <v/>
      </c>
      <c r="H958" s="2" t="str">
        <f>_xlfn.XLOOKUP(C958,customers!$A$1:$A$1001,customers!$G$1:$G$1001,,0)</f>
        <v>United States</v>
      </c>
      <c r="I958" t="str">
        <f>INDEX(products!$A$1:$G$49,MATCH($D958,products!$A$1:$A$49,0),MATCH(I$1,products!$A$1:$G$1,0))</f>
        <v>Rob</v>
      </c>
      <c r="J958" t="str" cm="1">
        <f t="array" ref="J958">INDEX(products!$B$2:$E$49,MATCH($D958,products!$A$2:$A$49,0),COLUMN(B957))</f>
        <v>L</v>
      </c>
      <c r="K958" s="4" cm="1">
        <f t="array" ref="K958">INDEX(products!$B$2:$E$49,MATCH($D958,products!$A$2:$A$49,0),COLUMN(C957))</f>
        <v>2.5</v>
      </c>
      <c r="L958" s="5" cm="1">
        <f t="array" ref="L958">INDEX(products!$B$2:$E$49,MATCH($D958,products!$A$2:$A$49,0),COLUMN(D957))</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f>
        <v>Brenn Dundredge</v>
      </c>
      <c r="G959" s="2" t="str">
        <f>IF(_xlfn.XLOOKUP(C959,customers!$A$1:$A$1001,customers!$C$1:$C$1001,,0)=0,"",(_xlfn.XLOOKUP(C959,customers!$A$1:$A$1001,customers!$C$1:$C$1001,,0)))</f>
        <v/>
      </c>
      <c r="H959" s="2" t="str">
        <f>_xlfn.XLOOKUP(C959,customers!$A$1:$A$1001,customers!$G$1:$G$1001,,0)</f>
        <v>United States</v>
      </c>
      <c r="I959" t="str">
        <f>INDEX(products!$A$1:$G$49,MATCH($D959,products!$A$1:$A$49,0),MATCH(I$1,products!$A$1:$G$1,0))</f>
        <v>Exc</v>
      </c>
      <c r="J959" t="str" cm="1">
        <f t="array" ref="J959">INDEX(products!$B$2:$E$49,MATCH($D959,products!$A$2:$A$49,0),COLUMN(B958))</f>
        <v>L</v>
      </c>
      <c r="K959" s="4" cm="1">
        <f t="array" ref="K959">INDEX(products!$B$2:$E$49,MATCH($D959,products!$A$2:$A$49,0),COLUMN(C958))</f>
        <v>1</v>
      </c>
      <c r="L959" s="5" cm="1">
        <f t="array" ref="L959">INDEX(products!$B$2:$E$49,MATCH($D959,products!$A$2:$A$49,0),COLUMN(D958))</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f>
        <v>Brenn Dundredge</v>
      </c>
      <c r="G960" s="2" t="str">
        <f>IF(_xlfn.XLOOKUP(C960,customers!$A$1:$A$1001,customers!$C$1:$C$1001,,0)=0,"",(_xlfn.XLOOKUP(C960,customers!$A$1:$A$1001,customers!$C$1:$C$1001,,0)))</f>
        <v/>
      </c>
      <c r="H960" s="2" t="str">
        <f>_xlfn.XLOOKUP(C960,customers!$A$1:$A$1001,customers!$G$1:$G$1001,,0)</f>
        <v>United States</v>
      </c>
      <c r="I960" t="str">
        <f>INDEX(products!$A$1:$G$49,MATCH($D960,products!$A$1:$A$49,0),MATCH(I$1,products!$A$1:$G$1,0))</f>
        <v>Ara</v>
      </c>
      <c r="J960" t="str" cm="1">
        <f t="array" ref="J960">INDEX(products!$B$2:$E$49,MATCH($D960,products!$A$2:$A$49,0),COLUMN(B959))</f>
        <v>L</v>
      </c>
      <c r="K960" s="4" cm="1">
        <f t="array" ref="K960">INDEX(products!$B$2:$E$49,MATCH($D960,products!$A$2:$A$49,0),COLUMN(C959))</f>
        <v>0.2</v>
      </c>
      <c r="L960" s="5" cm="1">
        <f t="array" ref="L960">INDEX(products!$B$2:$E$49,MATCH($D960,products!$A$2:$A$49,0),COLUMN(D959))</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INDEX(products!$A$1:$G$49,MATCH($D961,products!$A$1:$A$49,0),MATCH(I$1,products!$A$1:$G$1,0))</f>
        <v>Lib</v>
      </c>
      <c r="J961" t="str" cm="1">
        <f t="array" ref="J961">INDEX(products!$B$2:$E$49,MATCH($D961,products!$A$2:$A$49,0),COLUMN(B960))</f>
        <v>L</v>
      </c>
      <c r="K961" s="4" cm="1">
        <f t="array" ref="K961">INDEX(products!$B$2:$E$49,MATCH($D961,products!$A$2:$A$49,0),COLUMN(C960))</f>
        <v>0.2</v>
      </c>
      <c r="L961" s="5" cm="1">
        <f t="array" ref="L961">INDEX(products!$B$2:$E$49,MATCH($D961,products!$A$2:$A$49,0),COLUMN(D960))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INDEX(products!$A$1:$G$49,MATCH($D962,products!$A$1:$A$49,0),MATCH(I$1,products!$A$1:$G$1,0))</f>
        <v>Lib</v>
      </c>
      <c r="J962" t="str" cm="1">
        <f t="array" ref="J962">INDEX(products!$B$2:$E$49,MATCH($D962,products!$A$2:$A$49,0),COLUMN(B961))</f>
        <v>L</v>
      </c>
      <c r="K962" s="4" cm="1">
        <f t="array" ref="K962">INDEX(products!$B$2:$E$49,MATCH($D962,products!$A$2:$A$49,0),COLUMN(C961))</f>
        <v>1</v>
      </c>
      <c r="L962" s="5" cm="1">
        <f t="array" ref="L962">INDEX(products!$B$2:$E$49,MATCH($D962,products!$A$2:$A$49,0),COLUMN(D961))</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f>
        <v>Florinda Matusovsky</v>
      </c>
      <c r="G963" s="2" t="str">
        <f>IF(_xlfn.XLOOKUP(C963,customers!$A$1:$A$1001,customers!$C$1:$C$1001,,0)=0,"",(_xlfn.XLOOKUP(C963,customers!$A$1:$A$1001,customers!$C$1:$C$1001,,0)))</f>
        <v/>
      </c>
      <c r="H963" s="2" t="str">
        <f>_xlfn.XLOOKUP(C963,customers!$A$1:$A$1001,customers!$G$1:$G$1001,,0)</f>
        <v>United States</v>
      </c>
      <c r="I963" t="str">
        <f>INDEX(products!$A$1:$G$49,MATCH($D963,products!$A$1:$A$49,0),MATCH(I$1,products!$A$1:$G$1,0))</f>
        <v>Ara</v>
      </c>
      <c r="J963" t="str" cm="1">
        <f t="array" ref="J963">INDEX(products!$B$2:$E$49,MATCH($D963,products!$A$2:$A$49,0),COLUMN(B962))</f>
        <v>D</v>
      </c>
      <c r="K963" s="4" cm="1">
        <f t="array" ref="K963">INDEX(products!$B$2:$E$49,MATCH($D963,products!$A$2:$A$49,0),COLUMN(C962))</f>
        <v>2.5</v>
      </c>
      <c r="L963" s="5" cm="1">
        <f t="array" ref="L963">INDEX(products!$B$2:$E$49,MATCH($D963,products!$A$2:$A$49,0),COLUMN(D962))</f>
        <v>22.884999999999998</v>
      </c>
      <c r="M963" s="5">
        <f t="shared" ref="M963:M1001" si="45">E963*L963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f>
        <v>Morly Rocks</v>
      </c>
      <c r="G964" s="2" t="str">
        <f>IF(_xlfn.XLOOKUP(C964,customers!$A$1:$A$1001,customers!$C$1:$C$1001,,0)=0,"",(_xlfn.XLOOKUP(C964,customers!$A$1:$A$1001,customers!$C$1:$C$1001,,0)))</f>
        <v>mrocksqq@exblog.jp</v>
      </c>
      <c r="H964" s="2" t="str">
        <f>_xlfn.XLOOKUP(C964,customers!$A$1:$A$1001,customers!$G$1:$G$1001,,0)</f>
        <v>Ireland</v>
      </c>
      <c r="I964" t="str">
        <f>INDEX(products!$A$1:$G$49,MATCH($D964,products!$A$1:$A$49,0),MATCH(I$1,products!$A$1:$G$1,0))</f>
        <v>Rob</v>
      </c>
      <c r="J964" t="str" cm="1">
        <f t="array" ref="J964">INDEX(products!$B$2:$E$49,MATCH($D964,products!$A$2:$A$49,0),COLUMN(B963))</f>
        <v>D</v>
      </c>
      <c r="K964" s="4" cm="1">
        <f t="array" ref="K964">INDEX(products!$B$2:$E$49,MATCH($D964,products!$A$2:$A$49,0),COLUMN(C963))</f>
        <v>1</v>
      </c>
      <c r="L964" s="5" cm="1">
        <f t="array" ref="L964">INDEX(products!$B$2:$E$49,MATCH($D964,products!$A$2:$A$49,0),COLUMN(D963))</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INDEX(products!$A$1:$G$49,MATCH($D965,products!$A$1:$A$49,0),MATCH(I$1,products!$A$1:$G$1,0))</f>
        <v>Rob</v>
      </c>
      <c r="J965" t="str" cm="1">
        <f t="array" ref="J965">INDEX(products!$B$2:$E$49,MATCH($D965,products!$A$2:$A$49,0),COLUMN(B964))</f>
        <v>M</v>
      </c>
      <c r="K965" s="4" cm="1">
        <f t="array" ref="K965">INDEX(products!$B$2:$E$49,MATCH($D965,products!$A$2:$A$49,0),COLUMN(C964))</f>
        <v>0.5</v>
      </c>
      <c r="L965" s="5" cm="1">
        <f t="array" ref="L965">INDEX(products!$B$2:$E$49,MATCH($D965,products!$A$2:$A$49,0),COLUMN(D964))</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INDEX(products!$A$1:$G$49,MATCH($D966,products!$A$1:$A$49,0),MATCH(I$1,products!$A$1:$G$1,0))</f>
        <v>Exc</v>
      </c>
      <c r="J966" t="str" cm="1">
        <f t="array" ref="J966">INDEX(products!$B$2:$E$49,MATCH($D966,products!$A$2:$A$49,0),COLUMN(B965))</f>
        <v>L</v>
      </c>
      <c r="K966" s="4" cm="1">
        <f t="array" ref="K966">INDEX(products!$B$2:$E$49,MATCH($D966,products!$A$2:$A$49,0),COLUMN(C965))</f>
        <v>0.2</v>
      </c>
      <c r="L966" s="5" cm="1">
        <f t="array" ref="L966">INDEX(products!$B$2:$E$49,MATCH($D966,products!$A$2:$A$49,0),COLUMN(D965))</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INDEX(products!$A$1:$G$49,MATCH($D967,products!$A$1:$A$49,0),MATCH(I$1,products!$A$1:$G$1,0))</f>
        <v>Rob</v>
      </c>
      <c r="J967" t="str" cm="1">
        <f t="array" ref="J967">INDEX(products!$B$2:$E$49,MATCH($D967,products!$A$2:$A$49,0),COLUMN(B966))</f>
        <v>M</v>
      </c>
      <c r="K967" s="4" cm="1">
        <f t="array" ref="K967">INDEX(products!$B$2:$E$49,MATCH($D967,products!$A$2:$A$49,0),COLUMN(C966))</f>
        <v>1</v>
      </c>
      <c r="L967" s="5" cm="1">
        <f t="array" ref="L967">INDEX(products!$B$2:$E$49,MATCH($D967,products!$A$2:$A$49,0),COLUMN(D966))</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INDEX(products!$A$1:$G$49,MATCH($D968,products!$A$1:$A$49,0),MATCH(I$1,products!$A$1:$G$1,0))</f>
        <v>Exc</v>
      </c>
      <c r="J968" t="str" cm="1">
        <f t="array" ref="J968">INDEX(products!$B$2:$E$49,MATCH($D968,products!$A$2:$A$49,0),COLUMN(B967))</f>
        <v>L</v>
      </c>
      <c r="K968" s="4" cm="1">
        <f t="array" ref="K968">INDEX(products!$B$2:$E$49,MATCH($D968,products!$A$2:$A$49,0),COLUMN(C967))</f>
        <v>0.5</v>
      </c>
      <c r="L968" s="5" cm="1">
        <f t="array" ref="L968">INDEX(products!$B$2:$E$49,MATCH($D968,products!$A$2:$A$49,0),COLUMN(D967))</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INDEX(products!$A$1:$G$49,MATCH($D969,products!$A$1:$A$49,0),MATCH(I$1,products!$A$1:$G$1,0))</f>
        <v>Rob</v>
      </c>
      <c r="J969" t="str" cm="1">
        <f t="array" ref="J969">INDEX(products!$B$2:$E$49,MATCH($D969,products!$A$2:$A$49,0),COLUMN(B968))</f>
        <v>D</v>
      </c>
      <c r="K969" s="4" cm="1">
        <f t="array" ref="K969">INDEX(products!$B$2:$E$49,MATCH($D969,products!$A$2:$A$49,0),COLUMN(C968))</f>
        <v>0.2</v>
      </c>
      <c r="L969" s="5" cm="1">
        <f t="array" ref="L969">INDEX(products!$B$2:$E$49,MATCH($D969,products!$A$2:$A$49,0),COLUMN(D968))</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INDEX(products!$A$1:$G$49,MATCH($D970,products!$A$1:$A$49,0),MATCH(I$1,products!$A$1:$G$1,0))</f>
        <v>Rob</v>
      </c>
      <c r="J970" t="str" cm="1">
        <f t="array" ref="J970">INDEX(products!$B$2:$E$49,MATCH($D970,products!$A$2:$A$49,0),COLUMN(B969))</f>
        <v>M</v>
      </c>
      <c r="K970" s="4" cm="1">
        <f t="array" ref="K970">INDEX(products!$B$2:$E$49,MATCH($D970,products!$A$2:$A$49,0),COLUMN(C969))</f>
        <v>0.2</v>
      </c>
      <c r="L970" s="5" cm="1">
        <f t="array" ref="L970">INDEX(products!$B$2:$E$49,MATCH($D970,products!$A$2:$A$49,0),COLUMN(D969))</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INDEX(products!$A$1:$G$49,MATCH($D971,products!$A$1:$A$49,0),MATCH(I$1,products!$A$1:$G$1,0))</f>
        <v>Lib</v>
      </c>
      <c r="J971" t="str" cm="1">
        <f t="array" ref="J971">INDEX(products!$B$2:$E$49,MATCH($D971,products!$A$2:$A$49,0),COLUMN(B970))</f>
        <v>D</v>
      </c>
      <c r="K971" s="4" cm="1">
        <f t="array" ref="K971">INDEX(products!$B$2:$E$49,MATCH($D971,products!$A$2:$A$49,0),COLUMN(C970))</f>
        <v>1</v>
      </c>
      <c r="L971" s="5" cm="1">
        <f t="array" ref="L971">INDEX(products!$B$2:$E$49,MATCH($D971,products!$A$2:$A$49,0),COLUMN(D970))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f>
        <v>Sharl Southerill</v>
      </c>
      <c r="G972" s="2" t="str">
        <f>IF(_xlfn.XLOOKUP(C972,customers!$A$1:$A$1001,customers!$C$1:$C$1001,,0)=0,"",(_xlfn.XLOOKUP(C972,customers!$A$1:$A$1001,customers!$C$1:$C$1001,,0)))</f>
        <v/>
      </c>
      <c r="H972" s="2" t="str">
        <f>_xlfn.XLOOKUP(C972,customers!$A$1:$A$1001,customers!$G$1:$G$1001,,0)</f>
        <v>United States</v>
      </c>
      <c r="I972" t="str">
        <f>INDEX(products!$A$1:$G$49,MATCH($D972,products!$A$1:$A$49,0),MATCH(I$1,products!$A$1:$G$1,0))</f>
        <v>Exc</v>
      </c>
      <c r="J972" t="str" cm="1">
        <f t="array" ref="J972">INDEX(products!$B$2:$E$49,MATCH($D972,products!$A$2:$A$49,0),COLUMN(B971))</f>
        <v>M</v>
      </c>
      <c r="K972" s="4" cm="1">
        <f t="array" ref="K972">INDEX(products!$B$2:$E$49,MATCH($D972,products!$A$2:$A$49,0),COLUMN(C971))</f>
        <v>0.5</v>
      </c>
      <c r="L972" s="5" cm="1">
        <f t="array" ref="L972">INDEX(products!$B$2:$E$49,MATCH($D972,products!$A$2:$A$49,0),COLUMN(D971))</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INDEX(products!$A$1:$G$49,MATCH($D973,products!$A$1:$A$49,0),MATCH(I$1,products!$A$1:$G$1,0))</f>
        <v>Ara</v>
      </c>
      <c r="J973" t="str" cm="1">
        <f t="array" ref="J973">INDEX(products!$B$2:$E$49,MATCH($D973,products!$A$2:$A$49,0),COLUMN(B972))</f>
        <v>L</v>
      </c>
      <c r="K973" s="4" cm="1">
        <f t="array" ref="K973">INDEX(products!$B$2:$E$49,MATCH($D973,products!$A$2:$A$49,0),COLUMN(C972))</f>
        <v>2.5</v>
      </c>
      <c r="L973" s="5" cm="1">
        <f t="array" ref="L973">INDEX(products!$B$2:$E$49,MATCH($D973,products!$A$2:$A$49,0),COLUMN(D972))</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f>
        <v>Dinah Crutcher</v>
      </c>
      <c r="G974" s="2" t="str">
        <f>IF(_xlfn.XLOOKUP(C974,customers!$A$1:$A$1001,customers!$C$1:$C$1001,,0)=0,"",(_xlfn.XLOOKUP(C974,customers!$A$1:$A$1001,customers!$C$1:$C$1001,,0)))</f>
        <v/>
      </c>
      <c r="H974" s="2" t="str">
        <f>_xlfn.XLOOKUP(C974,customers!$A$1:$A$1001,customers!$G$1:$G$1001,,0)</f>
        <v>Ireland</v>
      </c>
      <c r="I974" t="str">
        <f>INDEX(products!$A$1:$G$49,MATCH($D974,products!$A$1:$A$49,0),MATCH(I$1,products!$A$1:$G$1,0))</f>
        <v>Ara</v>
      </c>
      <c r="J974" t="str" cm="1">
        <f t="array" ref="J974">INDEX(products!$B$2:$E$49,MATCH($D974,products!$A$2:$A$49,0),COLUMN(B973))</f>
        <v>L</v>
      </c>
      <c r="K974" s="4" cm="1">
        <f t="array" ref="K974">INDEX(products!$B$2:$E$49,MATCH($D974,products!$A$2:$A$49,0),COLUMN(C973))</f>
        <v>2.5</v>
      </c>
      <c r="L974" s="5" cm="1">
        <f t="array" ref="L974">INDEX(products!$B$2:$E$49,MATCH($D974,products!$A$2:$A$49,0),COLUMN(D973))</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INDEX(products!$A$1:$G$49,MATCH($D975,products!$A$1:$A$49,0),MATCH(I$1,products!$A$1:$G$1,0))</f>
        <v>Lib</v>
      </c>
      <c r="J975" t="str" cm="1">
        <f t="array" ref="J975">INDEX(products!$B$2:$E$49,MATCH($D975,products!$A$2:$A$49,0),COLUMN(B974))</f>
        <v>M</v>
      </c>
      <c r="K975" s="4" cm="1">
        <f t="array" ref="K975">INDEX(products!$B$2:$E$49,MATCH($D975,products!$A$2:$A$49,0),COLUMN(C974))</f>
        <v>1</v>
      </c>
      <c r="L975" s="5" cm="1">
        <f t="array" ref="L975">INDEX(products!$B$2:$E$49,MATCH($D975,products!$A$2:$A$49,0),COLUMN(D974))</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INDEX(products!$A$1:$G$49,MATCH($D976,products!$A$1:$A$49,0),MATCH(I$1,products!$A$1:$G$1,0))</f>
        <v>Rob</v>
      </c>
      <c r="J976" t="str" cm="1">
        <f t="array" ref="J976">INDEX(products!$B$2:$E$49,MATCH($D976,products!$A$2:$A$49,0),COLUMN(B975))</f>
        <v>D</v>
      </c>
      <c r="K976" s="4" cm="1">
        <f t="array" ref="K976">INDEX(products!$B$2:$E$49,MATCH($D976,products!$A$2:$A$49,0),COLUMN(C975))</f>
        <v>0.5</v>
      </c>
      <c r="L976" s="5" cm="1">
        <f t="array" ref="L976">INDEX(products!$B$2:$E$49,MATCH($D976,products!$A$2:$A$49,0),COLUMN(D975))</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INDEX(products!$A$1:$G$49,MATCH($D977,products!$A$1:$A$49,0),MATCH(I$1,products!$A$1:$G$1,0))</f>
        <v>Ara</v>
      </c>
      <c r="J977" t="str" cm="1">
        <f t="array" ref="J977">INDEX(products!$B$2:$E$49,MATCH($D977,products!$A$2:$A$49,0),COLUMN(B976))</f>
        <v>D</v>
      </c>
      <c r="K977" s="4" cm="1">
        <f t="array" ref="K977">INDEX(products!$B$2:$E$49,MATCH($D977,products!$A$2:$A$49,0),COLUMN(C976))</f>
        <v>0.2</v>
      </c>
      <c r="L977" s="5" cm="1">
        <f t="array" ref="L977">INDEX(products!$B$2:$E$49,MATCH($D977,products!$A$2:$A$49,0),COLUMN(D976))</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INDEX(products!$A$1:$G$49,MATCH($D978,products!$A$1:$A$49,0),MATCH(I$1,products!$A$1:$G$1,0))</f>
        <v>Rob</v>
      </c>
      <c r="J978" t="str" cm="1">
        <f t="array" ref="J978">INDEX(products!$B$2:$E$49,MATCH($D978,products!$A$2:$A$49,0),COLUMN(B977))</f>
        <v>L</v>
      </c>
      <c r="K978" s="4" cm="1">
        <f t="array" ref="K978">INDEX(products!$B$2:$E$49,MATCH($D978,products!$A$2:$A$49,0),COLUMN(C977))</f>
        <v>2.5</v>
      </c>
      <c r="L978" s="5" cm="1">
        <f t="array" ref="L978">INDEX(products!$B$2:$E$49,MATCH($D978,products!$A$2:$A$49,0),COLUMN(D977))</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INDEX(products!$A$1:$G$49,MATCH($D979,products!$A$1:$A$49,0),MATCH(I$1,products!$A$1:$G$1,0))</f>
        <v>Rob</v>
      </c>
      <c r="J979" t="str" cm="1">
        <f t="array" ref="J979">INDEX(products!$B$2:$E$49,MATCH($D979,products!$A$2:$A$49,0),COLUMN(B978))</f>
        <v>L</v>
      </c>
      <c r="K979" s="4" cm="1">
        <f t="array" ref="K979">INDEX(products!$B$2:$E$49,MATCH($D979,products!$A$2:$A$49,0),COLUMN(C978))</f>
        <v>1</v>
      </c>
      <c r="L979" s="5" cm="1">
        <f t="array" ref="L979">INDEX(products!$B$2:$E$49,MATCH($D979,products!$A$2:$A$49,0),COLUMN(D978))</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INDEX(products!$A$1:$G$49,MATCH($D980,products!$A$1:$A$49,0),MATCH(I$1,products!$A$1:$G$1,0))</f>
        <v>Ara</v>
      </c>
      <c r="J980" t="str" cm="1">
        <f t="array" ref="J980">INDEX(products!$B$2:$E$49,MATCH($D980,products!$A$2:$A$49,0),COLUMN(B979))</f>
        <v>L</v>
      </c>
      <c r="K980" s="4" cm="1">
        <f t="array" ref="K980">INDEX(products!$B$2:$E$49,MATCH($D980,products!$A$2:$A$49,0),COLUMN(C979))</f>
        <v>0.5</v>
      </c>
      <c r="L980" s="5" cm="1">
        <f t="array" ref="L980">INDEX(products!$B$2:$E$49,MATCH($D980,products!$A$2:$A$49,0),COLUMN(D979))</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f>
        <v>Javier Causnett</v>
      </c>
      <c r="G981" s="2" t="str">
        <f>IF(_xlfn.XLOOKUP(C981,customers!$A$1:$A$1001,customers!$C$1:$C$1001,,0)=0,"",(_xlfn.XLOOKUP(C981,customers!$A$1:$A$1001,customers!$C$1:$C$1001,,0)))</f>
        <v/>
      </c>
      <c r="H981" s="2" t="str">
        <f>_xlfn.XLOOKUP(C981,customers!$A$1:$A$1001,customers!$G$1:$G$1001,,0)</f>
        <v>United States</v>
      </c>
      <c r="I981" t="str">
        <f>INDEX(products!$A$1:$G$49,MATCH($D981,products!$A$1:$A$49,0),MATCH(I$1,products!$A$1:$G$1,0))</f>
        <v>Rob</v>
      </c>
      <c r="J981" t="str" cm="1">
        <f t="array" ref="J981">INDEX(products!$B$2:$E$49,MATCH($D981,products!$A$2:$A$49,0),COLUMN(B980))</f>
        <v>D</v>
      </c>
      <c r="K981" s="4" cm="1">
        <f t="array" ref="K981">INDEX(products!$B$2:$E$49,MATCH($D981,products!$A$2:$A$49,0),COLUMN(C980))</f>
        <v>0.5</v>
      </c>
      <c r="L981" s="5" cm="1">
        <f t="array" ref="L981">INDEX(products!$B$2:$E$49,MATCH($D981,products!$A$2:$A$49,0),COLUMN(D980))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f>
        <v>Demetris Micheli</v>
      </c>
      <c r="G982" s="2" t="str">
        <f>IF(_xlfn.XLOOKUP(C982,customers!$A$1:$A$1001,customers!$C$1:$C$1001,,0)=0,"",(_xlfn.XLOOKUP(C982,customers!$A$1:$A$1001,customers!$C$1:$C$1001,,0)))</f>
        <v/>
      </c>
      <c r="H982" s="2" t="str">
        <f>_xlfn.XLOOKUP(C982,customers!$A$1:$A$1001,customers!$G$1:$G$1001,,0)</f>
        <v>United States</v>
      </c>
      <c r="I982" t="str">
        <f>INDEX(products!$A$1:$G$49,MATCH($D982,products!$A$1:$A$49,0),MATCH(I$1,products!$A$1:$G$1,0))</f>
        <v>Exc</v>
      </c>
      <c r="J982" t="str" cm="1">
        <f t="array" ref="J982">INDEX(products!$B$2:$E$49,MATCH($D982,products!$A$2:$A$49,0),COLUMN(B981))</f>
        <v>D</v>
      </c>
      <c r="K982" s="4" cm="1">
        <f t="array" ref="K982">INDEX(products!$B$2:$E$49,MATCH($D982,products!$A$2:$A$49,0),COLUMN(C981))</f>
        <v>2.5</v>
      </c>
      <c r="L982" s="5" cm="1">
        <f t="array" ref="L982">INDEX(products!$B$2:$E$49,MATCH($D982,products!$A$2:$A$49,0),COLUMN(D981))</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INDEX(products!$A$1:$G$49,MATCH($D983,products!$A$1:$A$49,0),MATCH(I$1,products!$A$1:$G$1,0))</f>
        <v>Exc</v>
      </c>
      <c r="J983" t="str" cm="1">
        <f t="array" ref="J983">INDEX(products!$B$2:$E$49,MATCH($D983,products!$A$2:$A$49,0),COLUMN(B982))</f>
        <v>D</v>
      </c>
      <c r="K983" s="4" cm="1">
        <f t="array" ref="K983">INDEX(products!$B$2:$E$49,MATCH($D983,products!$A$2:$A$49,0),COLUMN(C982))</f>
        <v>0.2</v>
      </c>
      <c r="L983" s="5" cm="1">
        <f t="array" ref="L983">INDEX(products!$B$2:$E$49,MATCH($D983,products!$A$2:$A$49,0),COLUMN(D982))</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f>
        <v>Kim Kemery</v>
      </c>
      <c r="G984" s="2" t="str">
        <f>IF(_xlfn.XLOOKUP(C984,customers!$A$1:$A$1001,customers!$C$1:$C$1001,,0)=0,"",(_xlfn.XLOOKUP(C984,customers!$A$1:$A$1001,customers!$C$1:$C$1001,,0)))</f>
        <v>kkemeryra@t.co</v>
      </c>
      <c r="H984" s="2" t="str">
        <f>_xlfn.XLOOKUP(C984,customers!$A$1:$A$1001,customers!$G$1:$G$1001,,0)</f>
        <v>United States</v>
      </c>
      <c r="I984" t="str">
        <f>INDEX(products!$A$1:$G$49,MATCH($D984,products!$A$1:$A$49,0),MATCH(I$1,products!$A$1:$G$1,0))</f>
        <v>Rob</v>
      </c>
      <c r="J984" t="str" cm="1">
        <f t="array" ref="J984">INDEX(products!$B$2:$E$49,MATCH($D984,products!$A$2:$A$49,0),COLUMN(B983))</f>
        <v>L</v>
      </c>
      <c r="K984" s="4" cm="1">
        <f t="array" ref="K984">INDEX(products!$B$2:$E$49,MATCH($D984,products!$A$2:$A$49,0),COLUMN(C983))</f>
        <v>1</v>
      </c>
      <c r="L984" s="5" cm="1">
        <f t="array" ref="L984">INDEX(products!$B$2:$E$49,MATCH($D984,products!$A$2:$A$49,0),COLUMN(D983))</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INDEX(products!$A$1:$G$49,MATCH($D985,products!$A$1:$A$49,0),MATCH(I$1,products!$A$1:$G$1,0))</f>
        <v>Ara</v>
      </c>
      <c r="J985" t="str" cm="1">
        <f t="array" ref="J985">INDEX(products!$B$2:$E$49,MATCH($D985,products!$A$2:$A$49,0),COLUMN(B984))</f>
        <v>M</v>
      </c>
      <c r="K985" s="4" cm="1">
        <f t="array" ref="K985">INDEX(products!$B$2:$E$49,MATCH($D985,products!$A$2:$A$49,0),COLUMN(C984))</f>
        <v>0.2</v>
      </c>
      <c r="L985" s="5" cm="1">
        <f t="array" ref="L985">INDEX(products!$B$2:$E$49,MATCH($D985,products!$A$2:$A$49,0),COLUMN(D984))</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INDEX(products!$A$1:$G$49,MATCH($D986,products!$A$1:$A$49,0),MATCH(I$1,products!$A$1:$G$1,0))</f>
        <v>Exc</v>
      </c>
      <c r="J986" t="str" cm="1">
        <f t="array" ref="J986">INDEX(products!$B$2:$E$49,MATCH($D986,products!$A$2:$A$49,0),COLUMN(B985))</f>
        <v>M</v>
      </c>
      <c r="K986" s="4" cm="1">
        <f t="array" ref="K986">INDEX(products!$B$2:$E$49,MATCH($D986,products!$A$2:$A$49,0),COLUMN(C985))</f>
        <v>2.5</v>
      </c>
      <c r="L986" s="5" cm="1">
        <f t="array" ref="L986">INDEX(products!$B$2:$E$49,MATCH($D986,products!$A$2:$A$49,0),COLUMN(D985))</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INDEX(products!$A$1:$G$49,MATCH($D987,products!$A$1:$A$49,0),MATCH(I$1,products!$A$1:$G$1,0))</f>
        <v>Rob</v>
      </c>
      <c r="J987" t="str" cm="1">
        <f t="array" ref="J987">INDEX(products!$B$2:$E$49,MATCH($D987,products!$A$2:$A$49,0),COLUMN(B986))</f>
        <v>L</v>
      </c>
      <c r="K987" s="4" cm="1">
        <f t="array" ref="K987">INDEX(products!$B$2:$E$49,MATCH($D987,products!$A$2:$A$49,0),COLUMN(C986))</f>
        <v>1</v>
      </c>
      <c r="L987" s="5" cm="1">
        <f t="array" ref="L987">INDEX(products!$B$2:$E$49,MATCH($D987,products!$A$2:$A$49,0),COLUMN(D986))</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INDEX(products!$A$1:$G$49,MATCH($D988,products!$A$1:$A$49,0),MATCH(I$1,products!$A$1:$G$1,0))</f>
        <v>Lib</v>
      </c>
      <c r="J988" t="str" cm="1">
        <f t="array" ref="J988">INDEX(products!$B$2:$E$49,MATCH($D988,products!$A$2:$A$49,0),COLUMN(B987))</f>
        <v>M</v>
      </c>
      <c r="K988" s="4" cm="1">
        <f t="array" ref="K988">INDEX(products!$B$2:$E$49,MATCH($D988,products!$A$2:$A$49,0),COLUMN(C987))</f>
        <v>2.5</v>
      </c>
      <c r="L988" s="5" cm="1">
        <f t="array" ref="L988">INDEX(products!$B$2:$E$49,MATCH($D988,products!$A$2:$A$49,0),COLUMN(D987))</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INDEX(products!$A$1:$G$49,MATCH($D989,products!$A$1:$A$49,0),MATCH(I$1,products!$A$1:$G$1,0))</f>
        <v>Ara</v>
      </c>
      <c r="J989" t="str" cm="1">
        <f t="array" ref="J989">INDEX(products!$B$2:$E$49,MATCH($D989,products!$A$2:$A$49,0),COLUMN(B988))</f>
        <v>D</v>
      </c>
      <c r="K989" s="4" cm="1">
        <f t="array" ref="K989">INDEX(products!$B$2:$E$49,MATCH($D989,products!$A$2:$A$49,0),COLUMN(C988))</f>
        <v>0.5</v>
      </c>
      <c r="L989" s="5" cm="1">
        <f t="array" ref="L989">INDEX(products!$B$2:$E$49,MATCH($D989,products!$A$2:$A$49,0),COLUMN(D988))</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f>
        <v>Adele McFayden</v>
      </c>
      <c r="G990" s="2" t="str">
        <f>IF(_xlfn.XLOOKUP(C990,customers!$A$1:$A$1001,customers!$C$1:$C$1001,,0)=0,"",(_xlfn.XLOOKUP(C990,customers!$A$1:$A$1001,customers!$C$1:$C$1001,,0)))</f>
        <v/>
      </c>
      <c r="H990" s="2" t="str">
        <f>_xlfn.XLOOKUP(C990,customers!$A$1:$A$1001,customers!$G$1:$G$1001,,0)</f>
        <v>United Kingdom</v>
      </c>
      <c r="I990" t="str">
        <f>INDEX(products!$A$1:$G$49,MATCH($D990,products!$A$1:$A$49,0),MATCH(I$1,products!$A$1:$G$1,0))</f>
        <v>Rob</v>
      </c>
      <c r="J990" t="str" cm="1">
        <f t="array" ref="J990">INDEX(products!$B$2:$E$49,MATCH($D990,products!$A$2:$A$49,0),COLUMN(B989))</f>
        <v>M</v>
      </c>
      <c r="K990" s="4" cm="1">
        <f t="array" ref="K990">INDEX(products!$B$2:$E$49,MATCH($D990,products!$A$2:$A$49,0),COLUMN(C989))</f>
        <v>1</v>
      </c>
      <c r="L990" s="5" cm="1">
        <f t="array" ref="L990">INDEX(products!$B$2:$E$49,MATCH($D990,products!$A$2:$A$49,0),COLUMN(D989))</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f>
        <v>Herta Layne</v>
      </c>
      <c r="G991" s="2" t="str">
        <f>IF(_xlfn.XLOOKUP(C991,customers!$A$1:$A$1001,customers!$C$1:$C$1001,,0)=0,"",(_xlfn.XLOOKUP(C991,customers!$A$1:$A$1001,customers!$C$1:$C$1001,,0)))</f>
        <v/>
      </c>
      <c r="H991" s="2" t="str">
        <f>_xlfn.XLOOKUP(C991,customers!$A$1:$A$1001,customers!$G$1:$G$1001,,0)</f>
        <v>United States</v>
      </c>
      <c r="I991" t="str">
        <f>INDEX(products!$A$1:$G$49,MATCH($D991,products!$A$1:$A$49,0),MATCH(I$1,products!$A$1:$G$1,0))</f>
        <v>Ara</v>
      </c>
      <c r="J991" t="str" cm="1">
        <f t="array" ref="J991">INDEX(products!$B$2:$E$49,MATCH($D991,products!$A$2:$A$49,0),COLUMN(B990))</f>
        <v>M</v>
      </c>
      <c r="K991" s="4" cm="1">
        <f t="array" ref="K991">INDEX(products!$B$2:$E$49,MATCH($D991,products!$A$2:$A$49,0),COLUMN(C990))</f>
        <v>2.5</v>
      </c>
      <c r="L991" s="5" cm="1">
        <f t="array" ref="L991">INDEX(products!$B$2:$E$49,MATCH($D991,products!$A$2:$A$49,0),COLUMN(D990))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f>
        <v>Marguerite Graves</v>
      </c>
      <c r="G992" s="2" t="str">
        <f>IF(_xlfn.XLOOKUP(C992,customers!$A$1:$A$1001,customers!$C$1:$C$1001,,0)=0,"",(_xlfn.XLOOKUP(C992,customers!$A$1:$A$1001,customers!$C$1:$C$1001,,0)))</f>
        <v/>
      </c>
      <c r="H992" s="2" t="str">
        <f>_xlfn.XLOOKUP(C992,customers!$A$1:$A$1001,customers!$G$1:$G$1001,,0)</f>
        <v>United States</v>
      </c>
      <c r="I992" t="str">
        <f>INDEX(products!$A$1:$G$49,MATCH($D992,products!$A$1:$A$49,0),MATCH(I$1,products!$A$1:$G$1,0))</f>
        <v>Exc</v>
      </c>
      <c r="J992" t="str" cm="1">
        <f t="array" ref="J992">INDEX(products!$B$2:$E$49,MATCH($D992,products!$A$2:$A$49,0),COLUMN(B991))</f>
        <v>D</v>
      </c>
      <c r="K992" s="4" cm="1">
        <f t="array" ref="K992">INDEX(products!$B$2:$E$49,MATCH($D992,products!$A$2:$A$49,0),COLUMN(C991))</f>
        <v>0.2</v>
      </c>
      <c r="L992" s="5" cm="1">
        <f t="array" ref="L992">INDEX(products!$B$2:$E$49,MATCH($D992,products!$A$2:$A$49,0),COLUMN(D991))</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f>
        <v>Marguerite Graves</v>
      </c>
      <c r="G993" s="2" t="str">
        <f>IF(_xlfn.XLOOKUP(C993,customers!$A$1:$A$1001,customers!$C$1:$C$1001,,0)=0,"",(_xlfn.XLOOKUP(C993,customers!$A$1:$A$1001,customers!$C$1:$C$1001,,0)))</f>
        <v/>
      </c>
      <c r="H993" s="2" t="str">
        <f>_xlfn.XLOOKUP(C993,customers!$A$1:$A$1001,customers!$G$1:$G$1001,,0)</f>
        <v>United States</v>
      </c>
      <c r="I993" t="str">
        <f>INDEX(products!$A$1:$G$49,MATCH($D993,products!$A$1:$A$49,0),MATCH(I$1,products!$A$1:$G$1,0))</f>
        <v>Lib</v>
      </c>
      <c r="J993" t="str" cm="1">
        <f t="array" ref="J993">INDEX(products!$B$2:$E$49,MATCH($D993,products!$A$2:$A$49,0),COLUMN(B992))</f>
        <v>D</v>
      </c>
      <c r="K993" s="4" cm="1">
        <f t="array" ref="K993">INDEX(products!$B$2:$E$49,MATCH($D993,products!$A$2:$A$49,0),COLUMN(C992))</f>
        <v>0.5</v>
      </c>
      <c r="L993" s="5" cm="1">
        <f t="array" ref="L993">INDEX(products!$B$2:$E$49,MATCH($D993,products!$A$2:$A$49,0),COLUMN(D992))</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f>
        <v>Desdemona Eye</v>
      </c>
      <c r="G994" s="2" t="str">
        <f>IF(_xlfn.XLOOKUP(C994,customers!$A$1:$A$1001,customers!$C$1:$C$1001,,0)=0,"",(_xlfn.XLOOKUP(C994,customers!$A$1:$A$1001,customers!$C$1:$C$1001,,0)))</f>
        <v/>
      </c>
      <c r="H994" s="2" t="str">
        <f>_xlfn.XLOOKUP(C994,customers!$A$1:$A$1001,customers!$G$1:$G$1001,,0)</f>
        <v>Ireland</v>
      </c>
      <c r="I994" t="str">
        <f>INDEX(products!$A$1:$G$49,MATCH($D994,products!$A$1:$A$49,0),MATCH(I$1,products!$A$1:$G$1,0))</f>
        <v>Lib</v>
      </c>
      <c r="J994" t="str" cm="1">
        <f t="array" ref="J994">INDEX(products!$B$2:$E$49,MATCH($D994,products!$A$2:$A$49,0),COLUMN(B993))</f>
        <v>L</v>
      </c>
      <c r="K994" s="4" cm="1">
        <f t="array" ref="K994">INDEX(products!$B$2:$E$49,MATCH($D994,products!$A$2:$A$49,0),COLUMN(C993))</f>
        <v>2.5</v>
      </c>
      <c r="L994" s="5" cm="1">
        <f t="array" ref="L994">INDEX(products!$B$2:$E$49,MATCH($D994,products!$A$2:$A$49,0),COLUMN(D993))</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f>
        <v>Margarette Sterland</v>
      </c>
      <c r="G995" s="2" t="str">
        <f>IF(_xlfn.XLOOKUP(C995,customers!$A$1:$A$1001,customers!$C$1:$C$1001,,0)=0,"",(_xlfn.XLOOKUP(C995,customers!$A$1:$A$1001,customers!$C$1:$C$1001,,0)))</f>
        <v/>
      </c>
      <c r="H995" s="2" t="str">
        <f>_xlfn.XLOOKUP(C995,customers!$A$1:$A$1001,customers!$G$1:$G$1001,,0)</f>
        <v>United States</v>
      </c>
      <c r="I995" t="str">
        <f>INDEX(products!$A$1:$G$49,MATCH($D995,products!$A$1:$A$49,0),MATCH(I$1,products!$A$1:$G$1,0))</f>
        <v>Ara</v>
      </c>
      <c r="J995" t="str" cm="1">
        <f t="array" ref="J995">INDEX(products!$B$2:$E$49,MATCH($D995,products!$A$2:$A$49,0),COLUMN(B994))</f>
        <v>L</v>
      </c>
      <c r="K995" s="4" cm="1">
        <f t="array" ref="K995">INDEX(products!$B$2:$E$49,MATCH($D995,products!$A$2:$A$49,0),COLUMN(C994))</f>
        <v>1</v>
      </c>
      <c r="L995" s="5" cm="1">
        <f t="array" ref="L995">INDEX(products!$B$2:$E$49,MATCH($D995,products!$A$2:$A$49,0),COLUMN(D994))</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f>
        <v>Catharine Scoines</v>
      </c>
      <c r="G996" s="2" t="str">
        <f>IF(_xlfn.XLOOKUP(C996,customers!$A$1:$A$1001,customers!$C$1:$C$1001,,0)=0,"",(_xlfn.XLOOKUP(C996,customers!$A$1:$A$1001,customers!$C$1:$C$1001,,0)))</f>
        <v/>
      </c>
      <c r="H996" s="2" t="str">
        <f>_xlfn.XLOOKUP(C996,customers!$A$1:$A$1001,customers!$G$1:$G$1001,,0)</f>
        <v>Ireland</v>
      </c>
      <c r="I996" t="str">
        <f>INDEX(products!$A$1:$G$49,MATCH($D996,products!$A$1:$A$49,0),MATCH(I$1,products!$A$1:$G$1,0))</f>
        <v>Ara</v>
      </c>
      <c r="J996" t="str" cm="1">
        <f t="array" ref="J996">INDEX(products!$B$2:$E$49,MATCH($D996,products!$A$2:$A$49,0),COLUMN(B995))</f>
        <v>D</v>
      </c>
      <c r="K996" s="4" cm="1">
        <f t="array" ref="K996">INDEX(products!$B$2:$E$49,MATCH($D996,products!$A$2:$A$49,0),COLUMN(C995))</f>
        <v>0.2</v>
      </c>
      <c r="L996" s="5" cm="1">
        <f t="array" ref="L996">INDEX(products!$B$2:$E$49,MATCH($D996,products!$A$2:$A$49,0),COLUMN(D995))</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INDEX(products!$A$1:$G$49,MATCH($D997,products!$A$1:$A$49,0),MATCH(I$1,products!$A$1:$G$1,0))</f>
        <v>Rob</v>
      </c>
      <c r="J997" t="str" cm="1">
        <f t="array" ref="J997">INDEX(products!$B$2:$E$49,MATCH($D997,products!$A$2:$A$49,0),COLUMN(B996))</f>
        <v>L</v>
      </c>
      <c r="K997" s="4" cm="1">
        <f t="array" ref="K997">INDEX(products!$B$2:$E$49,MATCH($D997,products!$A$2:$A$49,0),COLUMN(C996))</f>
        <v>2.5</v>
      </c>
      <c r="L997" s="5" cm="1">
        <f t="array" ref="L997">INDEX(products!$B$2:$E$49,MATCH($D997,products!$A$2:$A$49,0),COLUMN(D996))</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f>
        <v>Marguerite Graves</v>
      </c>
      <c r="G998" s="2" t="str">
        <f>IF(_xlfn.XLOOKUP(C998,customers!$A$1:$A$1001,customers!$C$1:$C$1001,,0)=0,"",(_xlfn.XLOOKUP(C998,customers!$A$1:$A$1001,customers!$C$1:$C$1001,,0)))</f>
        <v/>
      </c>
      <c r="H998" s="2" t="str">
        <f>_xlfn.XLOOKUP(C998,customers!$A$1:$A$1001,customers!$G$1:$G$1001,,0)</f>
        <v>United States</v>
      </c>
      <c r="I998" t="str">
        <f>INDEX(products!$A$1:$G$49,MATCH($D998,products!$A$1:$A$49,0),MATCH(I$1,products!$A$1:$G$1,0))</f>
        <v>Rob</v>
      </c>
      <c r="J998" t="str" cm="1">
        <f t="array" ref="J998">INDEX(products!$B$2:$E$49,MATCH($D998,products!$A$2:$A$49,0),COLUMN(B997))</f>
        <v>M</v>
      </c>
      <c r="K998" s="4" cm="1">
        <f t="array" ref="K998">INDEX(products!$B$2:$E$49,MATCH($D998,products!$A$2:$A$49,0),COLUMN(C997))</f>
        <v>0.5</v>
      </c>
      <c r="L998" s="5" cm="1">
        <f t="array" ref="L998">INDEX(products!$B$2:$E$49,MATCH($D998,products!$A$2:$A$49,0),COLUMN(D997))</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f>
        <v>Marguerite Graves</v>
      </c>
      <c r="G999" s="2" t="str">
        <f>IF(_xlfn.XLOOKUP(C999,customers!$A$1:$A$1001,customers!$C$1:$C$1001,,0)=0,"",(_xlfn.XLOOKUP(C999,customers!$A$1:$A$1001,customers!$C$1:$C$1001,,0)))</f>
        <v/>
      </c>
      <c r="H999" s="2" t="str">
        <f>_xlfn.XLOOKUP(C999,customers!$A$1:$A$1001,customers!$G$1:$G$1001,,0)</f>
        <v>United States</v>
      </c>
      <c r="I999" t="str">
        <f>INDEX(products!$A$1:$G$49,MATCH($D999,products!$A$1:$A$49,0),MATCH(I$1,products!$A$1:$G$1,0))</f>
        <v>Ara</v>
      </c>
      <c r="J999" t="str" cm="1">
        <f t="array" ref="J999">INDEX(products!$B$2:$E$49,MATCH($D999,products!$A$2:$A$49,0),COLUMN(B998))</f>
        <v>M</v>
      </c>
      <c r="K999" s="4" cm="1">
        <f t="array" ref="K999">INDEX(products!$B$2:$E$49,MATCH($D999,products!$A$2:$A$49,0),COLUMN(C998))</f>
        <v>0.5</v>
      </c>
      <c r="L999" s="5" cm="1">
        <f t="array" ref="L999">INDEX(products!$B$2:$E$49,MATCH($D999,products!$A$2:$A$49,0),COLUMN(D998))</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INDEX(products!$A$1:$G$49,MATCH($D1000,products!$A$1:$A$49,0),MATCH(I$1,products!$A$1:$G$1,0))</f>
        <v>Ara</v>
      </c>
      <c r="J1000" t="str" cm="1">
        <f t="array" ref="J1000">INDEX(products!$B$2:$E$49,MATCH($D1000,products!$A$2:$A$49,0),COLUMN(B999))</f>
        <v>D</v>
      </c>
      <c r="K1000" s="4" cm="1">
        <f t="array" ref="K1000">INDEX(products!$B$2:$E$49,MATCH($D1000,products!$A$2:$A$49,0),COLUMN(C999))</f>
        <v>1</v>
      </c>
      <c r="L1000" s="5" cm="1">
        <f t="array" ref="L1000">INDEX(products!$B$2:$E$49,MATCH($D1000,products!$A$2:$A$49,0),COLUMN(D999))</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f>
        <v>Vidovic Antonelli</v>
      </c>
      <c r="G1001" s="2" t="str">
        <f>IF(_xlfn.XLOOKUP(C1001,customers!$A$1:$A$1001,customers!$C$1:$C$1001,,0)=0,"",(_xlfn.XLOOKUP(C1001,customers!$A$1:$A$1001,customers!$C$1:$C$1001,,0)))</f>
        <v/>
      </c>
      <c r="H1001" s="2" t="str">
        <f>_xlfn.XLOOKUP(C1001,customers!$A$1:$A$1001,customers!$G$1:$G$1001,,0)</f>
        <v>United Kingdom</v>
      </c>
      <c r="I1001" t="str">
        <f>INDEX(products!$A$1:$G$49,MATCH($D1001,products!$A$1:$A$49,0),MATCH(I$1,products!$A$1:$G$1,0))</f>
        <v>Exc</v>
      </c>
      <c r="J1001" t="str" cm="1">
        <f t="array" ref="J1001">INDEX(products!$B$2:$E$49,MATCH($D1001,products!$A$2:$A$49,0),COLUMN(B1000))</f>
        <v>M</v>
      </c>
      <c r="K1001" s="4" cm="1">
        <f t="array" ref="K1001">INDEX(products!$B$2:$E$49,MATCH($D1001,products!$A$2:$A$49,0),COLUMN(C1000))</f>
        <v>0.2</v>
      </c>
      <c r="L1001" s="5" cm="1">
        <f t="array" ref="L1001">INDEX(products!$B$2:$E$49,MATCH($D1001,products!$A$2:$A$49,0),COLUMN(D1000))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codeName="Sheet4"/>
  <dimension ref="A1:I1001"/>
  <sheetViews>
    <sheetView topLeftCell="A958" zoomScale="136" workbookViewId="0">
      <selection activeCell="C2" sqref="C2"/>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codeName="Sheet5"/>
  <dimension ref="A1:G49"/>
  <sheetViews>
    <sheetView zoomScale="125" workbookViewId="0">
      <selection activeCell="I7" sqref="I7"/>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Top5Coustomers</vt:lpstr>
      <vt:lpstr>Dashboard</vt:lpstr>
      <vt:lpstr>CountryBarChart</vt:lpstr>
      <vt:lpstr>TotalSales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Akhil Reddy</cp:lastModifiedBy>
  <cp:revision/>
  <dcterms:created xsi:type="dcterms:W3CDTF">2022-11-26T09:51:45Z</dcterms:created>
  <dcterms:modified xsi:type="dcterms:W3CDTF">2026-05-17T10:01:05Z</dcterms:modified>
  <cp:category/>
  <cp:contentStatus/>
</cp:coreProperties>
</file>